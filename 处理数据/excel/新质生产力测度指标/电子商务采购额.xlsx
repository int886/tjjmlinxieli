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743\Documents\GitHub\tjjmlinxieli\处理数据\excel\新质生产力测度指标\"/>
    </mc:Choice>
  </mc:AlternateContent>
  <xr:revisionPtr revIDLastSave="0" documentId="8_{35D0F789-F35B-4508-B3DC-C7E2AB49CAA2}" xr6:coauthVersionLast="47" xr6:coauthVersionMax="47" xr10:uidLastSave="{00000000-0000-0000-0000-000000000000}"/>
  <bookViews>
    <workbookView xWindow="-98" yWindow="-98" windowWidth="24196" windowHeight="15196" xr2:uid="{80ED7982-07F2-480A-90EE-7089C922DEC3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4FDA15-3842-48B1-9943-4A4F356778EA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<sst xmlns="http://schemas.openxmlformats.org/spreadsheetml/2006/main" count="678" uniqueCount="48">
  <si>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</si>
  <si>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</si>
  <si>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</si>
  <si>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</si>
  <si>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</si>
  <si>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</si>
  <si>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</si>
  <si>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</si>
  <si>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</si>
  <si>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</si>
  <si>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</si>
  <si>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</si>
  <si>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</si>
  <si>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</si>
  <si>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</si>
  <si>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</si>
  <si>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</si>
  <si>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</si>
  <si>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</si>
  <si>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</si>
  <si>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</si>
  <si>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</si>
  <si>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</si>
  <si>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</si>
  <si>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</si>
  <si>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</si>
  <si>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</si>
  <si>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</si>
  <si>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</si>
  <si>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</si>
  <si>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城市</t>
  </si>
  <si>
    <t>城市</t>
    <phoneticPr fontId="1" type="noConversion"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</si>
  <si>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</si>
  <si>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</si>
  <si>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</si>
  <si>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</si>
  <si>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</si>
  <si>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</si>
  <si>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</si>
  <si>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</si>
  <si>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</si>
  <si>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</si>
  <si>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年份</t>
    <phoneticPr fontId="1" type="noConversion"/>
  </si>
  <si>
    <t>电子商务采购额</t>
    <phoneticPr fontId="1" type="noConversion"/>
  </si>
  <si>
    <t>行政区划</t>
    <phoneticPr fontId="1" type="noConversion"/>
  </si>
  <si>
    <t>id</t>
    <phoneticPr fontId="1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</si>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</sst>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C726CB-2E8C-45CB-8B84-8CA979053D4B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城市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54C542-63E6-4600-AA59-8D85778FD7F2}" name="表1_" displayName="表1_" ref="A1:E301" tableType="queryTable" totalsRowShown="0">
  <autoFilter ref="A1:E301" xr:uid="{9054C542-63E6-4600-AA59-8D85778FD7F2}"/>
  <tableColumns count="5">
    <tableColumn id="1" xr3:uid="{CAFF1D16-E7D8-4AE7-9C61-B76E7B12E259}" uniqueName="1" name="城市" queryTableFieldId="1"/>
    <tableColumn id="2" xr3:uid="{588FB679-20E4-4608-B384-867D228FF586}" uniqueName="2" name="年份" queryTableFieldId="2"/>
    <tableColumn id="3" xr3:uid="{CDF14124-7C05-4791-BF19-2332AF4C40A7}" uniqueName="3" name="电子商务采购额" queryTableFieldId="3"/>
    <tableColumn id="4" xr3:uid="{E038AC8F-17D9-4AEF-8AE2-1B87FD23EC0E}" uniqueName="4" name="行政区划" queryTableFieldId="4" dataDxfId="1">
      <calculatedColumnFormula>VLOOKUP(表1_[[#This Row],[城市]],Sheet2!A:B,2,0)</calculatedColumnFormula>
    </tableColumn>
    <tableColumn id="5" xr3:uid="{C4EB5874-6D5A-4522-B7AC-B66A43EEA9DE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DB2E7-19D1-4E8D-8AB1-EAADFCDEABD4}" name="表1" displayName="表1" ref="A1:K31" totalsRowShown="0">
  <autoFilter ref="A1:K31" xr:uid="{D7CDB2E7-19D1-4E8D-8AB1-EAADFCDEABD4}"/>
  <tableColumns count="11">
    <tableColumn id="1" xr3:uid="{4CF70FAD-F60B-4125-88DB-34EBF24472C6}" name="城市"/>
    <tableColumn id="2" xr3:uid="{B0E9A5B6-5DF2-4C7A-B724-8A96A6ABC0B0}" name="2014"/>
    <tableColumn id="3" xr3:uid="{0AB0FD53-947C-4BB8-972A-1CDE7A8B0C25}" name="2015"/>
    <tableColumn id="4" xr3:uid="{0133C981-0258-49A5-BA26-066631295040}" name="2016"/>
    <tableColumn id="5" xr3:uid="{83ECD51B-5213-4047-BB78-6074147E9E0F}" name="2017"/>
    <tableColumn id="6" xr3:uid="{8DB758A1-E592-42C7-BCFC-C803CC30D219}" name="2018"/>
    <tableColumn id="7" xr3:uid="{C55DA34E-9491-40F1-8E27-32F2C62822F2}" name="2019"/>
    <tableColumn id="8" xr3:uid="{C1E408FA-1DB6-448E-B727-2C2133782DDE}" name="2020"/>
    <tableColumn id="9" xr3:uid="{907D1962-2E91-4C79-819C-AC20BE4FAE53}" name="2021"/>
    <tableColumn id="10" xr3:uid="{1193E151-E5D0-4770-AAF6-CDD26F7F2939}" name="2022" dataDxfId="3"/>
    <tableColumn id="11" xr3:uid="{9B87AC66-26C5-46EA-82FD-ABABC7F30CC7}" name="202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45E1-BCDC-4D68-80A0-55BE298E8B36}">
  <dimension ref="A1:E301"/>
  <sheetViews>
    <sheetView tabSelected="1" workbookViewId="0">
      <selection activeCell="B1" sqref="B1"/>
    </sheetView>
  </sheetViews>
  <sheetFormatPr defaultRowHeight="13.9" x14ac:dyDescent="0.4"/>
  <cols>
    <col min="1" max="2" width="7.1328125" bestFit="1" customWidth="1"/>
    <col min="3" max="3" width="14.86328125" customWidth="1"/>
  </cols>
  <sheetData>
    <row r="1" spans="1:5" x14ac:dyDescent="0.4">
      <c r="A1" t="s">
        <v>30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4">
      <c r="A2" t="s">
        <v>0</v>
      </c>
      <c r="B2" t="s">
        <v>32</v>
      </c>
      <c r="C2">
        <v>7563.91</v>
      </c>
      <c r="D2">
        <f>VLOOKUP(表1_[[#This Row],[城市]],Sheet2!A:B,2,0)</f>
        <v>110000</v>
      </c>
      <c r="E2">
        <f>表1_[[#This Row],[年份]]+表1_[[#This Row],[行政区划]]</f>
        <v>112014</v>
      </c>
    </row>
    <row r="3" spans="1:5" x14ac:dyDescent="0.4">
      <c r="A3" t="s">
        <v>0</v>
      </c>
      <c r="B3" t="s">
        <v>33</v>
      </c>
      <c r="C3">
        <v>9534.1299999999992</v>
      </c>
      <c r="D3">
        <f>VLOOKUP(表1_[[#This Row],[城市]],Sheet2!A:B,2,0)</f>
        <v>110000</v>
      </c>
      <c r="E3">
        <f>表1_[[#This Row],[年份]]+表1_[[#This Row],[行政区划]]</f>
        <v>112015</v>
      </c>
    </row>
    <row r="4" spans="1:5" x14ac:dyDescent="0.4">
      <c r="A4" t="s">
        <v>0</v>
      </c>
      <c r="B4" t="s">
        <v>34</v>
      </c>
      <c r="C4">
        <v>9340.64</v>
      </c>
      <c r="D4">
        <f>VLOOKUP(表1_[[#This Row],[城市]],Sheet2!A:B,2,0)</f>
        <v>110000</v>
      </c>
      <c r="E4">
        <f>表1_[[#This Row],[年份]]+表1_[[#This Row],[行政区划]]</f>
        <v>112016</v>
      </c>
    </row>
    <row r="5" spans="1:5" x14ac:dyDescent="0.4">
      <c r="A5" t="s">
        <v>0</v>
      </c>
      <c r="B5" t="s">
        <v>35</v>
      </c>
      <c r="C5">
        <v>11055.83</v>
      </c>
      <c r="D5">
        <f>VLOOKUP(表1_[[#This Row],[城市]],Sheet2!A:B,2,0)</f>
        <v>110000</v>
      </c>
      <c r="E5">
        <f>表1_[[#This Row],[年份]]+表1_[[#This Row],[行政区划]]</f>
        <v>112017</v>
      </c>
    </row>
    <row r="6" spans="1:5" x14ac:dyDescent="0.4">
      <c r="A6" t="s">
        <v>0</v>
      </c>
      <c r="B6" t="s">
        <v>36</v>
      </c>
      <c r="C6">
        <v>10623.59</v>
      </c>
      <c r="D6">
        <f>VLOOKUP(表1_[[#This Row],[城市]],Sheet2!A:B,2,0)</f>
        <v>110000</v>
      </c>
      <c r="E6">
        <f>表1_[[#This Row],[年份]]+表1_[[#This Row],[行政区划]]</f>
        <v>112018</v>
      </c>
    </row>
    <row r="7" spans="1:5" x14ac:dyDescent="0.4">
      <c r="A7" t="s">
        <v>0</v>
      </c>
      <c r="B7" t="s">
        <v>37</v>
      </c>
      <c r="C7">
        <v>13420.45</v>
      </c>
      <c r="D7">
        <f>VLOOKUP(表1_[[#This Row],[城市]],Sheet2!A:B,2,0)</f>
        <v>110000</v>
      </c>
      <c r="E7">
        <f>表1_[[#This Row],[年份]]+表1_[[#This Row],[行政区划]]</f>
        <v>112019</v>
      </c>
    </row>
    <row r="8" spans="1:5" x14ac:dyDescent="0.4">
      <c r="A8" t="s">
        <v>0</v>
      </c>
      <c r="B8" t="s">
        <v>38</v>
      </c>
      <c r="C8">
        <v>15296.4</v>
      </c>
      <c r="D8">
        <f>VLOOKUP(表1_[[#This Row],[城市]],Sheet2!A:B,2,0)</f>
        <v>110000</v>
      </c>
      <c r="E8">
        <f>表1_[[#This Row],[年份]]+表1_[[#This Row],[行政区划]]</f>
        <v>112020</v>
      </c>
    </row>
    <row r="9" spans="1:5" x14ac:dyDescent="0.4">
      <c r="A9" t="s">
        <v>0</v>
      </c>
      <c r="B9" t="s">
        <v>39</v>
      </c>
      <c r="C9">
        <v>16856.189999999999</v>
      </c>
      <c r="D9">
        <f>VLOOKUP(表1_[[#This Row],[城市]],Sheet2!A:B,2,0)</f>
        <v>110000</v>
      </c>
      <c r="E9">
        <f>表1_[[#This Row],[年份]]+表1_[[#This Row],[行政区划]]</f>
        <v>112021</v>
      </c>
    </row>
    <row r="10" spans="1:5" x14ac:dyDescent="0.4">
      <c r="A10" t="s">
        <v>0</v>
      </c>
      <c r="B10" t="s">
        <v>40</v>
      </c>
      <c r="C10">
        <v>21284.86</v>
      </c>
      <c r="D10">
        <f>VLOOKUP(表1_[[#This Row],[城市]],Sheet2!A:B,2,0)</f>
        <v>110000</v>
      </c>
      <c r="E10">
        <f>表1_[[#This Row],[年份]]+表1_[[#This Row],[行政区划]]</f>
        <v>112022</v>
      </c>
    </row>
    <row r="11" spans="1:5" x14ac:dyDescent="0.4">
      <c r="A11" t="s">
        <v>0</v>
      </c>
      <c r="B11" t="s">
        <v>41</v>
      </c>
      <c r="C11">
        <v>22713.040000000001</v>
      </c>
      <c r="D11">
        <f>VLOOKUP(表1_[[#This Row],[城市]],Sheet2!A:B,2,0)</f>
        <v>110000</v>
      </c>
      <c r="E11">
        <f>表1_[[#This Row],[年份]]+表1_[[#This Row],[行政区划]]</f>
        <v>112023</v>
      </c>
    </row>
    <row r="12" spans="1:5" x14ac:dyDescent="0.4">
      <c r="A12" t="s">
        <v>1</v>
      </c>
      <c r="B12" t="s">
        <v>32</v>
      </c>
      <c r="C12">
        <v>1400.55</v>
      </c>
      <c r="D12">
        <f>VLOOKUP(表1_[[#This Row],[城市]],Sheet2!A:B,2,0)</f>
        <v>120000</v>
      </c>
      <c r="E12">
        <f>表1_[[#This Row],[年份]]+表1_[[#This Row],[行政区划]]</f>
        <v>122014</v>
      </c>
    </row>
    <row r="13" spans="1:5" x14ac:dyDescent="0.4">
      <c r="A13" t="s">
        <v>1</v>
      </c>
      <c r="B13" t="s">
        <v>33</v>
      </c>
      <c r="C13">
        <v>2068.35</v>
      </c>
      <c r="D13">
        <f>VLOOKUP(表1_[[#This Row],[城市]],Sheet2!A:B,2,0)</f>
        <v>120000</v>
      </c>
      <c r="E13">
        <f>表1_[[#This Row],[年份]]+表1_[[#This Row],[行政区划]]</f>
        <v>122015</v>
      </c>
    </row>
    <row r="14" spans="1:5" x14ac:dyDescent="0.4">
      <c r="A14" t="s">
        <v>1</v>
      </c>
      <c r="B14" t="s">
        <v>34</v>
      </c>
      <c r="C14">
        <v>1434.81</v>
      </c>
      <c r="D14">
        <f>VLOOKUP(表1_[[#This Row],[城市]],Sheet2!A:B,2,0)</f>
        <v>120000</v>
      </c>
      <c r="E14">
        <f>表1_[[#This Row],[年份]]+表1_[[#This Row],[行政区划]]</f>
        <v>122016</v>
      </c>
    </row>
    <row r="15" spans="1:5" x14ac:dyDescent="0.4">
      <c r="A15" t="s">
        <v>1</v>
      </c>
      <c r="B15" t="s">
        <v>35</v>
      </c>
      <c r="C15">
        <v>1766.44</v>
      </c>
      <c r="D15">
        <f>VLOOKUP(表1_[[#This Row],[城市]],Sheet2!A:B,2,0)</f>
        <v>120000</v>
      </c>
      <c r="E15">
        <f>表1_[[#This Row],[年份]]+表1_[[#This Row],[行政区划]]</f>
        <v>122017</v>
      </c>
    </row>
    <row r="16" spans="1:5" x14ac:dyDescent="0.4">
      <c r="A16" t="s">
        <v>1</v>
      </c>
      <c r="B16" t="s">
        <v>36</v>
      </c>
      <c r="C16">
        <v>1906.31</v>
      </c>
      <c r="D16">
        <f>VLOOKUP(表1_[[#This Row],[城市]],Sheet2!A:B,2,0)</f>
        <v>120000</v>
      </c>
      <c r="E16">
        <f>表1_[[#This Row],[年份]]+表1_[[#This Row],[行政区划]]</f>
        <v>122018</v>
      </c>
    </row>
    <row r="17" spans="1:5" x14ac:dyDescent="0.4">
      <c r="A17" t="s">
        <v>1</v>
      </c>
      <c r="B17" t="s">
        <v>37</v>
      </c>
      <c r="C17">
        <v>2346.38</v>
      </c>
      <c r="D17">
        <f>VLOOKUP(表1_[[#This Row],[城市]],Sheet2!A:B,2,0)</f>
        <v>120000</v>
      </c>
      <c r="E17">
        <f>表1_[[#This Row],[年份]]+表1_[[#This Row],[行政区划]]</f>
        <v>122019</v>
      </c>
    </row>
    <row r="18" spans="1:5" x14ac:dyDescent="0.4">
      <c r="A18" t="s">
        <v>1</v>
      </c>
      <c r="B18" t="s">
        <v>38</v>
      </c>
      <c r="C18">
        <v>2404</v>
      </c>
      <c r="D18">
        <f>VLOOKUP(表1_[[#This Row],[城市]],Sheet2!A:B,2,0)</f>
        <v>120000</v>
      </c>
      <c r="E18">
        <f>表1_[[#This Row],[年份]]+表1_[[#This Row],[行政区划]]</f>
        <v>122020</v>
      </c>
    </row>
    <row r="19" spans="1:5" x14ac:dyDescent="0.4">
      <c r="A19" t="s">
        <v>1</v>
      </c>
      <c r="B19" t="s">
        <v>39</v>
      </c>
      <c r="C19">
        <v>2437.4699999999998</v>
      </c>
      <c r="D19">
        <f>VLOOKUP(表1_[[#This Row],[城市]],Sheet2!A:B,2,0)</f>
        <v>120000</v>
      </c>
      <c r="E19">
        <f>表1_[[#This Row],[年份]]+表1_[[#This Row],[行政区划]]</f>
        <v>122021</v>
      </c>
    </row>
    <row r="20" spans="1:5" x14ac:dyDescent="0.4">
      <c r="A20" t="s">
        <v>1</v>
      </c>
      <c r="B20" t="s">
        <v>40</v>
      </c>
      <c r="C20">
        <v>4385.8100000000004</v>
      </c>
      <c r="D20">
        <f>VLOOKUP(表1_[[#This Row],[城市]],Sheet2!A:B,2,0)</f>
        <v>120000</v>
      </c>
      <c r="E20">
        <f>表1_[[#This Row],[年份]]+表1_[[#This Row],[行政区划]]</f>
        <v>122022</v>
      </c>
    </row>
    <row r="21" spans="1:5" x14ac:dyDescent="0.4">
      <c r="A21" t="s">
        <v>1</v>
      </c>
      <c r="B21" t="s">
        <v>41</v>
      </c>
      <c r="C21">
        <v>4556.84</v>
      </c>
      <c r="D21">
        <f>VLOOKUP(表1_[[#This Row],[城市]],Sheet2!A:B,2,0)</f>
        <v>120000</v>
      </c>
      <c r="E21">
        <f>表1_[[#This Row],[年份]]+表1_[[#This Row],[行政区划]]</f>
        <v>122023</v>
      </c>
    </row>
    <row r="22" spans="1:5" x14ac:dyDescent="0.4">
      <c r="A22" t="s">
        <v>2</v>
      </c>
      <c r="B22" t="s">
        <v>32</v>
      </c>
      <c r="C22">
        <v>1118.4100000000001</v>
      </c>
      <c r="D22">
        <f>VLOOKUP(表1_[[#This Row],[城市]],Sheet2!A:B,2,0)</f>
        <v>130000</v>
      </c>
      <c r="E22">
        <f>表1_[[#This Row],[年份]]+表1_[[#This Row],[行政区划]]</f>
        <v>132014</v>
      </c>
    </row>
    <row r="23" spans="1:5" x14ac:dyDescent="0.4">
      <c r="A23" t="s">
        <v>2</v>
      </c>
      <c r="B23" t="s">
        <v>33</v>
      </c>
      <c r="C23">
        <v>863.49</v>
      </c>
      <c r="D23">
        <f>VLOOKUP(表1_[[#This Row],[城市]],Sheet2!A:B,2,0)</f>
        <v>130000</v>
      </c>
      <c r="E23">
        <f>表1_[[#This Row],[年份]]+表1_[[#This Row],[行政区划]]</f>
        <v>132015</v>
      </c>
    </row>
    <row r="24" spans="1:5" x14ac:dyDescent="0.4">
      <c r="A24" t="s">
        <v>2</v>
      </c>
      <c r="B24" t="s">
        <v>34</v>
      </c>
      <c r="C24">
        <v>1045.53</v>
      </c>
      <c r="D24">
        <f>VLOOKUP(表1_[[#This Row],[城市]],Sheet2!A:B,2,0)</f>
        <v>130000</v>
      </c>
      <c r="E24">
        <f>表1_[[#This Row],[年份]]+表1_[[#This Row],[行政区划]]</f>
        <v>132016</v>
      </c>
    </row>
    <row r="25" spans="1:5" x14ac:dyDescent="0.4">
      <c r="A25" t="s">
        <v>2</v>
      </c>
      <c r="B25" t="s">
        <v>35</v>
      </c>
      <c r="C25">
        <v>2842.59</v>
      </c>
      <c r="D25">
        <f>VLOOKUP(表1_[[#This Row],[城市]],Sheet2!A:B,2,0)</f>
        <v>130000</v>
      </c>
      <c r="E25">
        <f>表1_[[#This Row],[年份]]+表1_[[#This Row],[行政区划]]</f>
        <v>132017</v>
      </c>
    </row>
    <row r="26" spans="1:5" x14ac:dyDescent="0.4">
      <c r="A26" t="s">
        <v>2</v>
      </c>
      <c r="B26" t="s">
        <v>36</v>
      </c>
      <c r="C26">
        <v>1971.41</v>
      </c>
      <c r="D26">
        <f>VLOOKUP(表1_[[#This Row],[城市]],Sheet2!A:B,2,0)</f>
        <v>130000</v>
      </c>
      <c r="E26">
        <f>表1_[[#This Row],[年份]]+表1_[[#This Row],[行政区划]]</f>
        <v>132018</v>
      </c>
    </row>
    <row r="27" spans="1:5" x14ac:dyDescent="0.4">
      <c r="A27" t="s">
        <v>2</v>
      </c>
      <c r="B27" t="s">
        <v>37</v>
      </c>
      <c r="C27">
        <v>1925.99</v>
      </c>
      <c r="D27">
        <f>VLOOKUP(表1_[[#This Row],[城市]],Sheet2!A:B,2,0)</f>
        <v>130000</v>
      </c>
      <c r="E27">
        <f>表1_[[#This Row],[年份]]+表1_[[#This Row],[行政区划]]</f>
        <v>132019</v>
      </c>
    </row>
    <row r="28" spans="1:5" x14ac:dyDescent="0.4">
      <c r="A28" t="s">
        <v>2</v>
      </c>
      <c r="B28" t="s">
        <v>38</v>
      </c>
      <c r="C28">
        <v>1717.6</v>
      </c>
      <c r="D28">
        <f>VLOOKUP(表1_[[#This Row],[城市]],Sheet2!A:B,2,0)</f>
        <v>130000</v>
      </c>
      <c r="E28">
        <f>表1_[[#This Row],[年份]]+表1_[[#This Row],[行政区划]]</f>
        <v>132020</v>
      </c>
    </row>
    <row r="29" spans="1:5" x14ac:dyDescent="0.4">
      <c r="A29" t="s">
        <v>2</v>
      </c>
      <c r="B29" t="s">
        <v>39</v>
      </c>
      <c r="C29">
        <v>2265.5100000000002</v>
      </c>
      <c r="D29">
        <f>VLOOKUP(表1_[[#This Row],[城市]],Sheet2!A:B,2,0)</f>
        <v>130000</v>
      </c>
      <c r="E29">
        <f>表1_[[#This Row],[年份]]+表1_[[#This Row],[行政区划]]</f>
        <v>132021</v>
      </c>
    </row>
    <row r="30" spans="1:5" x14ac:dyDescent="0.4">
      <c r="A30" t="s">
        <v>2</v>
      </c>
      <c r="B30" t="s">
        <v>40</v>
      </c>
      <c r="C30">
        <v>2061.0300000000002</v>
      </c>
      <c r="D30">
        <f>VLOOKUP(表1_[[#This Row],[城市]],Sheet2!A:B,2,0)</f>
        <v>130000</v>
      </c>
      <c r="E30">
        <f>表1_[[#This Row],[年份]]+表1_[[#This Row],[行政区划]]</f>
        <v>132022</v>
      </c>
    </row>
    <row r="31" spans="1:5" x14ac:dyDescent="0.4">
      <c r="A31" t="s">
        <v>2</v>
      </c>
      <c r="B31" t="s">
        <v>41</v>
      </c>
      <c r="C31">
        <v>1979.59</v>
      </c>
      <c r="D31">
        <f>VLOOKUP(表1_[[#This Row],[城市]],Sheet2!A:B,2,0)</f>
        <v>130000</v>
      </c>
      <c r="E31">
        <f>表1_[[#This Row],[年份]]+表1_[[#This Row],[行政区划]]</f>
        <v>132023</v>
      </c>
    </row>
    <row r="32" spans="1:5" x14ac:dyDescent="0.4">
      <c r="A32" t="s">
        <v>3</v>
      </c>
      <c r="B32" t="s">
        <v>32</v>
      </c>
      <c r="C32">
        <v>392.95</v>
      </c>
      <c r="D32">
        <f>VLOOKUP(表1_[[#This Row],[城市]],Sheet2!A:B,2,0)</f>
        <v>140000</v>
      </c>
      <c r="E32">
        <f>表1_[[#This Row],[年份]]+表1_[[#This Row],[行政区划]]</f>
        <v>142014</v>
      </c>
    </row>
    <row r="33" spans="1:5" x14ac:dyDescent="0.4">
      <c r="A33" t="s">
        <v>3</v>
      </c>
      <c r="B33" t="s">
        <v>33</v>
      </c>
      <c r="C33">
        <v>380.38</v>
      </c>
      <c r="D33">
        <f>VLOOKUP(表1_[[#This Row],[城市]],Sheet2!A:B,2,0)</f>
        <v>140000</v>
      </c>
      <c r="E33">
        <f>表1_[[#This Row],[年份]]+表1_[[#This Row],[行政区划]]</f>
        <v>142015</v>
      </c>
    </row>
    <row r="34" spans="1:5" x14ac:dyDescent="0.4">
      <c r="A34" t="s">
        <v>3</v>
      </c>
      <c r="B34" t="s">
        <v>34</v>
      </c>
      <c r="C34">
        <v>621.37</v>
      </c>
      <c r="D34">
        <f>VLOOKUP(表1_[[#This Row],[城市]],Sheet2!A:B,2,0)</f>
        <v>140000</v>
      </c>
      <c r="E34">
        <f>表1_[[#This Row],[年份]]+表1_[[#This Row],[行政区划]]</f>
        <v>142016</v>
      </c>
    </row>
    <row r="35" spans="1:5" x14ac:dyDescent="0.4">
      <c r="A35" t="s">
        <v>3</v>
      </c>
      <c r="B35" t="s">
        <v>35</v>
      </c>
      <c r="C35">
        <v>733.02</v>
      </c>
      <c r="D35">
        <f>VLOOKUP(表1_[[#This Row],[城市]],Sheet2!A:B,2,0)</f>
        <v>140000</v>
      </c>
      <c r="E35">
        <f>表1_[[#This Row],[年份]]+表1_[[#This Row],[行政区划]]</f>
        <v>142017</v>
      </c>
    </row>
    <row r="36" spans="1:5" x14ac:dyDescent="0.4">
      <c r="A36" t="s">
        <v>3</v>
      </c>
      <c r="B36" t="s">
        <v>36</v>
      </c>
      <c r="C36">
        <v>922.06</v>
      </c>
      <c r="D36">
        <f>VLOOKUP(表1_[[#This Row],[城市]],Sheet2!A:B,2,0)</f>
        <v>140000</v>
      </c>
      <c r="E36">
        <f>表1_[[#This Row],[年份]]+表1_[[#This Row],[行政区划]]</f>
        <v>142018</v>
      </c>
    </row>
    <row r="37" spans="1:5" x14ac:dyDescent="0.4">
      <c r="A37" t="s">
        <v>3</v>
      </c>
      <c r="B37" t="s">
        <v>37</v>
      </c>
      <c r="C37">
        <v>1342.86</v>
      </c>
      <c r="D37">
        <f>VLOOKUP(表1_[[#This Row],[城市]],Sheet2!A:B,2,0)</f>
        <v>140000</v>
      </c>
      <c r="E37">
        <f>表1_[[#This Row],[年份]]+表1_[[#This Row],[行政区划]]</f>
        <v>142019</v>
      </c>
    </row>
    <row r="38" spans="1:5" x14ac:dyDescent="0.4">
      <c r="A38" t="s">
        <v>3</v>
      </c>
      <c r="B38" t="s">
        <v>38</v>
      </c>
      <c r="C38">
        <v>928.4</v>
      </c>
      <c r="D38">
        <f>VLOOKUP(表1_[[#This Row],[城市]],Sheet2!A:B,2,0)</f>
        <v>140000</v>
      </c>
      <c r="E38">
        <f>表1_[[#This Row],[年份]]+表1_[[#This Row],[行政区划]]</f>
        <v>142020</v>
      </c>
    </row>
    <row r="39" spans="1:5" x14ac:dyDescent="0.4">
      <c r="A39" t="s">
        <v>3</v>
      </c>
      <c r="B39" t="s">
        <v>39</v>
      </c>
      <c r="C39">
        <v>1619.02</v>
      </c>
      <c r="D39">
        <f>VLOOKUP(表1_[[#This Row],[城市]],Sheet2!A:B,2,0)</f>
        <v>140000</v>
      </c>
      <c r="E39">
        <f>表1_[[#This Row],[年份]]+表1_[[#This Row],[行政区划]]</f>
        <v>142021</v>
      </c>
    </row>
    <row r="40" spans="1:5" x14ac:dyDescent="0.4">
      <c r="A40" t="s">
        <v>3</v>
      </c>
      <c r="B40" t="s">
        <v>40</v>
      </c>
      <c r="C40">
        <v>1768.86</v>
      </c>
      <c r="D40">
        <f>VLOOKUP(表1_[[#This Row],[城市]],Sheet2!A:B,2,0)</f>
        <v>140000</v>
      </c>
      <c r="E40">
        <f>表1_[[#This Row],[年份]]+表1_[[#This Row],[行政区划]]</f>
        <v>142022</v>
      </c>
    </row>
    <row r="41" spans="1:5" x14ac:dyDescent="0.4">
      <c r="A41" t="s">
        <v>3</v>
      </c>
      <c r="B41" t="s">
        <v>41</v>
      </c>
      <c r="C41">
        <v>2206.33</v>
      </c>
      <c r="D41">
        <f>VLOOKUP(表1_[[#This Row],[城市]],Sheet2!A:B,2,0)</f>
        <v>140000</v>
      </c>
      <c r="E41">
        <f>表1_[[#This Row],[年份]]+表1_[[#This Row],[行政区划]]</f>
        <v>142023</v>
      </c>
    </row>
    <row r="42" spans="1:5" x14ac:dyDescent="0.4">
      <c r="A42" t="s">
        <v>4</v>
      </c>
      <c r="B42" t="s">
        <v>32</v>
      </c>
      <c r="C42">
        <v>214.6</v>
      </c>
      <c r="D42">
        <f>VLOOKUP(表1_[[#This Row],[城市]],Sheet2!A:B,2,0)</f>
        <v>150000</v>
      </c>
      <c r="E42">
        <f>表1_[[#This Row],[年份]]+表1_[[#This Row],[行政区划]]</f>
        <v>152014</v>
      </c>
    </row>
    <row r="43" spans="1:5" x14ac:dyDescent="0.4">
      <c r="A43" t="s">
        <v>4</v>
      </c>
      <c r="B43" t="s">
        <v>33</v>
      </c>
      <c r="C43">
        <v>910.66</v>
      </c>
      <c r="D43">
        <f>VLOOKUP(表1_[[#This Row],[城市]],Sheet2!A:B,2,0)</f>
        <v>150000</v>
      </c>
      <c r="E43">
        <f>表1_[[#This Row],[年份]]+表1_[[#This Row],[行政区划]]</f>
        <v>152015</v>
      </c>
    </row>
    <row r="44" spans="1:5" x14ac:dyDescent="0.4">
      <c r="A44" t="s">
        <v>4</v>
      </c>
      <c r="B44" t="s">
        <v>34</v>
      </c>
      <c r="C44">
        <v>1026.94</v>
      </c>
      <c r="D44">
        <f>VLOOKUP(表1_[[#This Row],[城市]],Sheet2!A:B,2,0)</f>
        <v>150000</v>
      </c>
      <c r="E44">
        <f>表1_[[#This Row],[年份]]+表1_[[#This Row],[行政区划]]</f>
        <v>152016</v>
      </c>
    </row>
    <row r="45" spans="1:5" x14ac:dyDescent="0.4">
      <c r="A45" t="s">
        <v>4</v>
      </c>
      <c r="B45" t="s">
        <v>35</v>
      </c>
      <c r="C45">
        <v>1074.8599999999999</v>
      </c>
      <c r="D45">
        <f>VLOOKUP(表1_[[#This Row],[城市]],Sheet2!A:B,2,0)</f>
        <v>150000</v>
      </c>
      <c r="E45">
        <f>表1_[[#This Row],[年份]]+表1_[[#This Row],[行政区划]]</f>
        <v>152017</v>
      </c>
    </row>
    <row r="46" spans="1:5" x14ac:dyDescent="0.4">
      <c r="A46" t="s">
        <v>4</v>
      </c>
      <c r="B46" t="s">
        <v>36</v>
      </c>
      <c r="C46">
        <v>1258.3499999999999</v>
      </c>
      <c r="D46">
        <f>VLOOKUP(表1_[[#This Row],[城市]],Sheet2!A:B,2,0)</f>
        <v>150000</v>
      </c>
      <c r="E46">
        <f>表1_[[#This Row],[年份]]+表1_[[#This Row],[行政区划]]</f>
        <v>152018</v>
      </c>
    </row>
    <row r="47" spans="1:5" x14ac:dyDescent="0.4">
      <c r="A47" t="s">
        <v>4</v>
      </c>
      <c r="B47" t="s">
        <v>37</v>
      </c>
      <c r="C47">
        <v>1631.26</v>
      </c>
      <c r="D47">
        <f>VLOOKUP(表1_[[#This Row],[城市]],Sheet2!A:B,2,0)</f>
        <v>150000</v>
      </c>
      <c r="E47">
        <f>表1_[[#This Row],[年份]]+表1_[[#This Row],[行政区划]]</f>
        <v>152019</v>
      </c>
    </row>
    <row r="48" spans="1:5" x14ac:dyDescent="0.4">
      <c r="A48" t="s">
        <v>4</v>
      </c>
      <c r="B48" t="s">
        <v>38</v>
      </c>
      <c r="C48">
        <v>2013.7</v>
      </c>
      <c r="D48">
        <f>VLOOKUP(表1_[[#This Row],[城市]],Sheet2!A:B,2,0)</f>
        <v>150000</v>
      </c>
      <c r="E48">
        <f>表1_[[#This Row],[年份]]+表1_[[#This Row],[行政区划]]</f>
        <v>152020</v>
      </c>
    </row>
    <row r="49" spans="1:5" x14ac:dyDescent="0.4">
      <c r="A49" t="s">
        <v>4</v>
      </c>
      <c r="B49" t="s">
        <v>39</v>
      </c>
      <c r="C49">
        <v>2845.3</v>
      </c>
      <c r="D49">
        <f>VLOOKUP(表1_[[#This Row],[城市]],Sheet2!A:B,2,0)</f>
        <v>150000</v>
      </c>
      <c r="E49">
        <f>表1_[[#This Row],[年份]]+表1_[[#This Row],[行政区划]]</f>
        <v>152021</v>
      </c>
    </row>
    <row r="50" spans="1:5" x14ac:dyDescent="0.4">
      <c r="A50" t="s">
        <v>4</v>
      </c>
      <c r="B50" t="s">
        <v>40</v>
      </c>
      <c r="C50">
        <v>2863.84</v>
      </c>
      <c r="D50">
        <f>VLOOKUP(表1_[[#This Row],[城市]],Sheet2!A:B,2,0)</f>
        <v>150000</v>
      </c>
      <c r="E50">
        <f>表1_[[#This Row],[年份]]+表1_[[#This Row],[行政区划]]</f>
        <v>152022</v>
      </c>
    </row>
    <row r="51" spans="1:5" x14ac:dyDescent="0.4">
      <c r="A51" t="s">
        <v>4</v>
      </c>
      <c r="B51" t="s">
        <v>41</v>
      </c>
      <c r="C51">
        <v>2198.36</v>
      </c>
      <c r="D51">
        <f>VLOOKUP(表1_[[#This Row],[城市]],Sheet2!A:B,2,0)</f>
        <v>150000</v>
      </c>
      <c r="E51">
        <f>表1_[[#This Row],[年份]]+表1_[[#This Row],[行政区划]]</f>
        <v>152023</v>
      </c>
    </row>
    <row r="52" spans="1:5" x14ac:dyDescent="0.4">
      <c r="A52" t="s">
        <v>5</v>
      </c>
      <c r="B52" t="s">
        <v>32</v>
      </c>
      <c r="C52">
        <v>976.95</v>
      </c>
      <c r="D52">
        <f>VLOOKUP(表1_[[#This Row],[城市]],Sheet2!A:B,2,0)</f>
        <v>210000</v>
      </c>
      <c r="E52">
        <f>表1_[[#This Row],[年份]]+表1_[[#This Row],[行政区划]]</f>
        <v>212014</v>
      </c>
    </row>
    <row r="53" spans="1:5" x14ac:dyDescent="0.4">
      <c r="A53" t="s">
        <v>5</v>
      </c>
      <c r="B53" t="s">
        <v>33</v>
      </c>
      <c r="C53">
        <v>1107.6199999999999</v>
      </c>
      <c r="D53">
        <f>VLOOKUP(表1_[[#This Row],[城市]],Sheet2!A:B,2,0)</f>
        <v>210000</v>
      </c>
      <c r="E53">
        <f>表1_[[#This Row],[年份]]+表1_[[#This Row],[行政区划]]</f>
        <v>212015</v>
      </c>
    </row>
    <row r="54" spans="1:5" x14ac:dyDescent="0.4">
      <c r="A54" t="s">
        <v>5</v>
      </c>
      <c r="B54" t="s">
        <v>34</v>
      </c>
      <c r="C54">
        <v>1058.28</v>
      </c>
      <c r="D54">
        <f>VLOOKUP(表1_[[#This Row],[城市]],Sheet2!A:B,2,0)</f>
        <v>210000</v>
      </c>
      <c r="E54">
        <f>表1_[[#This Row],[年份]]+表1_[[#This Row],[行政区划]]</f>
        <v>212016</v>
      </c>
    </row>
    <row r="55" spans="1:5" x14ac:dyDescent="0.4">
      <c r="A55" t="s">
        <v>5</v>
      </c>
      <c r="B55" t="s">
        <v>35</v>
      </c>
      <c r="C55">
        <v>1135.01</v>
      </c>
      <c r="D55">
        <f>VLOOKUP(表1_[[#This Row],[城市]],Sheet2!A:B,2,0)</f>
        <v>210000</v>
      </c>
      <c r="E55">
        <f>表1_[[#This Row],[年份]]+表1_[[#This Row],[行政区划]]</f>
        <v>212017</v>
      </c>
    </row>
    <row r="56" spans="1:5" x14ac:dyDescent="0.4">
      <c r="A56" t="s">
        <v>5</v>
      </c>
      <c r="B56" t="s">
        <v>36</v>
      </c>
      <c r="C56">
        <v>2264.16</v>
      </c>
      <c r="D56">
        <f>VLOOKUP(表1_[[#This Row],[城市]],Sheet2!A:B,2,0)</f>
        <v>210000</v>
      </c>
      <c r="E56">
        <f>表1_[[#This Row],[年份]]+表1_[[#This Row],[行政区划]]</f>
        <v>212018</v>
      </c>
    </row>
    <row r="57" spans="1:5" x14ac:dyDescent="0.4">
      <c r="A57" t="s">
        <v>5</v>
      </c>
      <c r="B57" t="s">
        <v>37</v>
      </c>
      <c r="C57">
        <v>2570.2800000000002</v>
      </c>
      <c r="D57">
        <f>VLOOKUP(表1_[[#This Row],[城市]],Sheet2!A:B,2,0)</f>
        <v>210000</v>
      </c>
      <c r="E57">
        <f>表1_[[#This Row],[年份]]+表1_[[#This Row],[行政区划]]</f>
        <v>212019</v>
      </c>
    </row>
    <row r="58" spans="1:5" x14ac:dyDescent="0.4">
      <c r="A58" t="s">
        <v>5</v>
      </c>
      <c r="B58" t="s">
        <v>38</v>
      </c>
      <c r="C58">
        <v>2646.9</v>
      </c>
      <c r="D58">
        <f>VLOOKUP(表1_[[#This Row],[城市]],Sheet2!A:B,2,0)</f>
        <v>210000</v>
      </c>
      <c r="E58">
        <f>表1_[[#This Row],[年份]]+表1_[[#This Row],[行政区划]]</f>
        <v>212020</v>
      </c>
    </row>
    <row r="59" spans="1:5" x14ac:dyDescent="0.4">
      <c r="A59" t="s">
        <v>5</v>
      </c>
      <c r="B59" t="s">
        <v>39</v>
      </c>
      <c r="C59">
        <v>2870.64</v>
      </c>
      <c r="D59">
        <f>VLOOKUP(表1_[[#This Row],[城市]],Sheet2!A:B,2,0)</f>
        <v>210000</v>
      </c>
      <c r="E59">
        <f>表1_[[#This Row],[年份]]+表1_[[#This Row],[行政区划]]</f>
        <v>212021</v>
      </c>
    </row>
    <row r="60" spans="1:5" x14ac:dyDescent="0.4">
      <c r="A60" t="s">
        <v>5</v>
      </c>
      <c r="B60" t="s">
        <v>40</v>
      </c>
      <c r="C60">
        <v>3438.34</v>
      </c>
      <c r="D60">
        <f>VLOOKUP(表1_[[#This Row],[城市]],Sheet2!A:B,2,0)</f>
        <v>210000</v>
      </c>
      <c r="E60">
        <f>表1_[[#This Row],[年份]]+表1_[[#This Row],[行政区划]]</f>
        <v>212022</v>
      </c>
    </row>
    <row r="61" spans="1:5" x14ac:dyDescent="0.4">
      <c r="A61" t="s">
        <v>5</v>
      </c>
      <c r="B61" t="s">
        <v>41</v>
      </c>
      <c r="C61">
        <v>4025.08</v>
      </c>
      <c r="D61">
        <f>VLOOKUP(表1_[[#This Row],[城市]],Sheet2!A:B,2,0)</f>
        <v>210000</v>
      </c>
      <c r="E61">
        <f>表1_[[#This Row],[年份]]+表1_[[#This Row],[行政区划]]</f>
        <v>212023</v>
      </c>
    </row>
    <row r="62" spans="1:5" x14ac:dyDescent="0.4">
      <c r="A62" t="s">
        <v>6</v>
      </c>
      <c r="B62" t="s">
        <v>32</v>
      </c>
      <c r="C62">
        <v>250.07</v>
      </c>
      <c r="D62">
        <f>VLOOKUP(表1_[[#This Row],[城市]],Sheet2!A:B,2,0)</f>
        <v>220000</v>
      </c>
      <c r="E62">
        <f>表1_[[#This Row],[年份]]+表1_[[#This Row],[行政区划]]</f>
        <v>222014</v>
      </c>
    </row>
    <row r="63" spans="1:5" x14ac:dyDescent="0.4">
      <c r="A63" t="s">
        <v>6</v>
      </c>
      <c r="B63" t="s">
        <v>33</v>
      </c>
      <c r="C63">
        <v>263.05</v>
      </c>
      <c r="D63">
        <f>VLOOKUP(表1_[[#This Row],[城市]],Sheet2!A:B,2,0)</f>
        <v>220000</v>
      </c>
      <c r="E63">
        <f>表1_[[#This Row],[年份]]+表1_[[#This Row],[行政区划]]</f>
        <v>222015</v>
      </c>
    </row>
    <row r="64" spans="1:5" x14ac:dyDescent="0.4">
      <c r="A64" t="s">
        <v>6</v>
      </c>
      <c r="B64" t="s">
        <v>34</v>
      </c>
      <c r="C64">
        <v>236.09</v>
      </c>
      <c r="D64">
        <f>VLOOKUP(表1_[[#This Row],[城市]],Sheet2!A:B,2,0)</f>
        <v>220000</v>
      </c>
      <c r="E64">
        <f>表1_[[#This Row],[年份]]+表1_[[#This Row],[行政区划]]</f>
        <v>222016</v>
      </c>
    </row>
    <row r="65" spans="1:5" x14ac:dyDescent="0.4">
      <c r="A65" t="s">
        <v>6</v>
      </c>
      <c r="B65" t="s">
        <v>35</v>
      </c>
      <c r="C65">
        <v>255.15</v>
      </c>
      <c r="D65">
        <f>VLOOKUP(表1_[[#This Row],[城市]],Sheet2!A:B,2,0)</f>
        <v>220000</v>
      </c>
      <c r="E65">
        <f>表1_[[#This Row],[年份]]+表1_[[#This Row],[行政区划]]</f>
        <v>222017</v>
      </c>
    </row>
    <row r="66" spans="1:5" x14ac:dyDescent="0.4">
      <c r="A66" t="s">
        <v>6</v>
      </c>
      <c r="B66" t="s">
        <v>36</v>
      </c>
      <c r="C66">
        <v>288.37</v>
      </c>
      <c r="D66">
        <f>VLOOKUP(表1_[[#This Row],[城市]],Sheet2!A:B,2,0)</f>
        <v>220000</v>
      </c>
      <c r="E66">
        <f>表1_[[#This Row],[年份]]+表1_[[#This Row],[行政区划]]</f>
        <v>222018</v>
      </c>
    </row>
    <row r="67" spans="1:5" x14ac:dyDescent="0.4">
      <c r="A67" t="s">
        <v>6</v>
      </c>
      <c r="B67" t="s">
        <v>37</v>
      </c>
      <c r="C67">
        <v>288.92</v>
      </c>
      <c r="D67">
        <f>VLOOKUP(表1_[[#This Row],[城市]],Sheet2!A:B,2,0)</f>
        <v>220000</v>
      </c>
      <c r="E67">
        <f>表1_[[#This Row],[年份]]+表1_[[#This Row],[行政区划]]</f>
        <v>222019</v>
      </c>
    </row>
    <row r="68" spans="1:5" x14ac:dyDescent="0.4">
      <c r="A68" t="s">
        <v>6</v>
      </c>
      <c r="B68" t="s">
        <v>38</v>
      </c>
      <c r="C68">
        <v>346.7</v>
      </c>
      <c r="D68">
        <f>VLOOKUP(表1_[[#This Row],[城市]],Sheet2!A:B,2,0)</f>
        <v>220000</v>
      </c>
      <c r="E68">
        <f>表1_[[#This Row],[年份]]+表1_[[#This Row],[行政区划]]</f>
        <v>222020</v>
      </c>
    </row>
    <row r="69" spans="1:5" x14ac:dyDescent="0.4">
      <c r="A69" t="s">
        <v>6</v>
      </c>
      <c r="B69" t="s">
        <v>39</v>
      </c>
      <c r="C69">
        <v>348.96</v>
      </c>
      <c r="D69">
        <f>VLOOKUP(表1_[[#This Row],[城市]],Sheet2!A:B,2,0)</f>
        <v>220000</v>
      </c>
      <c r="E69">
        <f>表1_[[#This Row],[年份]]+表1_[[#This Row],[行政区划]]</f>
        <v>222021</v>
      </c>
    </row>
    <row r="70" spans="1:5" x14ac:dyDescent="0.4">
      <c r="A70" t="s">
        <v>6</v>
      </c>
      <c r="B70" t="s">
        <v>40</v>
      </c>
      <c r="C70">
        <v>331.24</v>
      </c>
      <c r="D70">
        <f>VLOOKUP(表1_[[#This Row],[城市]],Sheet2!A:B,2,0)</f>
        <v>220000</v>
      </c>
      <c r="E70">
        <f>表1_[[#This Row],[年份]]+表1_[[#This Row],[行政区划]]</f>
        <v>222022</v>
      </c>
    </row>
    <row r="71" spans="1:5" x14ac:dyDescent="0.4">
      <c r="A71" t="s">
        <v>6</v>
      </c>
      <c r="B71" t="s">
        <v>41</v>
      </c>
      <c r="C71">
        <v>1247.33</v>
      </c>
      <c r="D71">
        <f>VLOOKUP(表1_[[#This Row],[城市]],Sheet2!A:B,2,0)</f>
        <v>220000</v>
      </c>
      <c r="E71">
        <f>表1_[[#This Row],[年份]]+表1_[[#This Row],[行政区划]]</f>
        <v>222023</v>
      </c>
    </row>
    <row r="72" spans="1:5" x14ac:dyDescent="0.4">
      <c r="A72" t="s">
        <v>7</v>
      </c>
      <c r="B72" t="s">
        <v>32</v>
      </c>
      <c r="C72">
        <v>643.96</v>
      </c>
      <c r="D72">
        <f>VLOOKUP(表1_[[#This Row],[城市]],Sheet2!A:B,2,0)</f>
        <v>230000</v>
      </c>
      <c r="E72">
        <f>表1_[[#This Row],[年份]]+表1_[[#This Row],[行政区划]]</f>
        <v>232014</v>
      </c>
    </row>
    <row r="73" spans="1:5" x14ac:dyDescent="0.4">
      <c r="A73" t="s">
        <v>7</v>
      </c>
      <c r="B73" t="s">
        <v>33</v>
      </c>
      <c r="C73">
        <v>120.66</v>
      </c>
      <c r="D73">
        <f>VLOOKUP(表1_[[#This Row],[城市]],Sheet2!A:B,2,0)</f>
        <v>230000</v>
      </c>
      <c r="E73">
        <f>表1_[[#This Row],[年份]]+表1_[[#This Row],[行政区划]]</f>
        <v>232015</v>
      </c>
    </row>
    <row r="74" spans="1:5" x14ac:dyDescent="0.4">
      <c r="A74" t="s">
        <v>7</v>
      </c>
      <c r="B74" t="s">
        <v>34</v>
      </c>
      <c r="C74">
        <v>238.9</v>
      </c>
      <c r="D74">
        <f>VLOOKUP(表1_[[#This Row],[城市]],Sheet2!A:B,2,0)</f>
        <v>230000</v>
      </c>
      <c r="E74">
        <f>表1_[[#This Row],[年份]]+表1_[[#This Row],[行政区划]]</f>
        <v>232016</v>
      </c>
    </row>
    <row r="75" spans="1:5" x14ac:dyDescent="0.4">
      <c r="A75" t="s">
        <v>7</v>
      </c>
      <c r="B75" t="s">
        <v>35</v>
      </c>
      <c r="C75">
        <v>417.31</v>
      </c>
      <c r="D75">
        <f>VLOOKUP(表1_[[#This Row],[城市]],Sheet2!A:B,2,0)</f>
        <v>230000</v>
      </c>
      <c r="E75">
        <f>表1_[[#This Row],[年份]]+表1_[[#This Row],[行政区划]]</f>
        <v>232017</v>
      </c>
    </row>
    <row r="76" spans="1:5" x14ac:dyDescent="0.4">
      <c r="A76" t="s">
        <v>7</v>
      </c>
      <c r="B76" t="s">
        <v>36</v>
      </c>
      <c r="C76">
        <v>310.83999999999997</v>
      </c>
      <c r="D76">
        <f>VLOOKUP(表1_[[#This Row],[城市]],Sheet2!A:B,2,0)</f>
        <v>230000</v>
      </c>
      <c r="E76">
        <f>表1_[[#This Row],[年份]]+表1_[[#This Row],[行政区划]]</f>
        <v>232018</v>
      </c>
    </row>
    <row r="77" spans="1:5" x14ac:dyDescent="0.4">
      <c r="A77" t="s">
        <v>7</v>
      </c>
      <c r="B77" t="s">
        <v>37</v>
      </c>
      <c r="C77">
        <v>314.88</v>
      </c>
      <c r="D77">
        <f>VLOOKUP(表1_[[#This Row],[城市]],Sheet2!A:B,2,0)</f>
        <v>230000</v>
      </c>
      <c r="E77">
        <f>表1_[[#This Row],[年份]]+表1_[[#This Row],[行政区划]]</f>
        <v>232019</v>
      </c>
    </row>
    <row r="78" spans="1:5" x14ac:dyDescent="0.4">
      <c r="A78" t="s">
        <v>7</v>
      </c>
      <c r="B78" t="s">
        <v>38</v>
      </c>
      <c r="C78">
        <v>367.8</v>
      </c>
      <c r="D78">
        <f>VLOOKUP(表1_[[#This Row],[城市]],Sheet2!A:B,2,0)</f>
        <v>230000</v>
      </c>
      <c r="E78">
        <f>表1_[[#This Row],[年份]]+表1_[[#This Row],[行政区划]]</f>
        <v>232020</v>
      </c>
    </row>
    <row r="79" spans="1:5" x14ac:dyDescent="0.4">
      <c r="A79" t="s">
        <v>7</v>
      </c>
      <c r="B79" t="s">
        <v>39</v>
      </c>
      <c r="C79">
        <v>610.41</v>
      </c>
      <c r="D79">
        <f>VLOOKUP(表1_[[#This Row],[城市]],Sheet2!A:B,2,0)</f>
        <v>230000</v>
      </c>
      <c r="E79">
        <f>表1_[[#This Row],[年份]]+表1_[[#This Row],[行政区划]]</f>
        <v>232021</v>
      </c>
    </row>
    <row r="80" spans="1:5" x14ac:dyDescent="0.4">
      <c r="A80" t="s">
        <v>7</v>
      </c>
      <c r="B80" t="s">
        <v>40</v>
      </c>
      <c r="C80">
        <v>676</v>
      </c>
      <c r="D80">
        <f>VLOOKUP(表1_[[#This Row],[城市]],Sheet2!A:B,2,0)</f>
        <v>230000</v>
      </c>
      <c r="E80">
        <f>表1_[[#This Row],[年份]]+表1_[[#This Row],[行政区划]]</f>
        <v>232022</v>
      </c>
    </row>
    <row r="81" spans="1:5" x14ac:dyDescent="0.4">
      <c r="A81" t="s">
        <v>7</v>
      </c>
      <c r="B81" t="s">
        <v>41</v>
      </c>
      <c r="C81">
        <v>573.84</v>
      </c>
      <c r="D81">
        <f>VLOOKUP(表1_[[#This Row],[城市]],Sheet2!A:B,2,0)</f>
        <v>230000</v>
      </c>
      <c r="E81">
        <f>表1_[[#This Row],[年份]]+表1_[[#This Row],[行政区划]]</f>
        <v>232023</v>
      </c>
    </row>
    <row r="82" spans="1:5" x14ac:dyDescent="0.4">
      <c r="A82" t="s">
        <v>8</v>
      </c>
      <c r="B82" t="s">
        <v>32</v>
      </c>
      <c r="C82">
        <v>6633</v>
      </c>
      <c r="D82">
        <f>VLOOKUP(表1_[[#This Row],[城市]],Sheet2!A:B,2,0)</f>
        <v>310000</v>
      </c>
      <c r="E82">
        <f>表1_[[#This Row],[年份]]+表1_[[#This Row],[行政区划]]</f>
        <v>312014</v>
      </c>
    </row>
    <row r="83" spans="1:5" x14ac:dyDescent="0.4">
      <c r="A83" t="s">
        <v>8</v>
      </c>
      <c r="B83" t="s">
        <v>33</v>
      </c>
      <c r="C83">
        <v>6119.8</v>
      </c>
      <c r="D83">
        <f>VLOOKUP(表1_[[#This Row],[城市]],Sheet2!A:B,2,0)</f>
        <v>310000</v>
      </c>
      <c r="E83">
        <f>表1_[[#This Row],[年份]]+表1_[[#This Row],[行政区划]]</f>
        <v>312015</v>
      </c>
    </row>
    <row r="84" spans="1:5" x14ac:dyDescent="0.4">
      <c r="A84" t="s">
        <v>8</v>
      </c>
      <c r="B84" t="s">
        <v>34</v>
      </c>
      <c r="C84">
        <v>8175.78</v>
      </c>
      <c r="D84">
        <f>VLOOKUP(表1_[[#This Row],[城市]],Sheet2!A:B,2,0)</f>
        <v>310000</v>
      </c>
      <c r="E84">
        <f>表1_[[#This Row],[年份]]+表1_[[#This Row],[行政区划]]</f>
        <v>312016</v>
      </c>
    </row>
    <row r="85" spans="1:5" x14ac:dyDescent="0.4">
      <c r="A85" t="s">
        <v>8</v>
      </c>
      <c r="B85" t="s">
        <v>35</v>
      </c>
      <c r="C85">
        <v>8814.2199999999993</v>
      </c>
      <c r="D85">
        <f>VLOOKUP(表1_[[#This Row],[城市]],Sheet2!A:B,2,0)</f>
        <v>310000</v>
      </c>
      <c r="E85">
        <f>表1_[[#This Row],[年份]]+表1_[[#This Row],[行政区划]]</f>
        <v>312017</v>
      </c>
    </row>
    <row r="86" spans="1:5" x14ac:dyDescent="0.4">
      <c r="A86" t="s">
        <v>8</v>
      </c>
      <c r="B86" t="s">
        <v>36</v>
      </c>
      <c r="C86">
        <v>9664.4</v>
      </c>
      <c r="D86">
        <f>VLOOKUP(表1_[[#This Row],[城市]],Sheet2!A:B,2,0)</f>
        <v>310000</v>
      </c>
      <c r="E86">
        <f>表1_[[#This Row],[年份]]+表1_[[#This Row],[行政区划]]</f>
        <v>312018</v>
      </c>
    </row>
    <row r="87" spans="1:5" x14ac:dyDescent="0.4">
      <c r="A87" t="s">
        <v>8</v>
      </c>
      <c r="B87" t="s">
        <v>37</v>
      </c>
      <c r="C87">
        <v>11367.51</v>
      </c>
      <c r="D87">
        <f>VLOOKUP(表1_[[#This Row],[城市]],Sheet2!A:B,2,0)</f>
        <v>310000</v>
      </c>
      <c r="E87">
        <f>表1_[[#This Row],[年份]]+表1_[[#This Row],[行政区划]]</f>
        <v>312019</v>
      </c>
    </row>
    <row r="88" spans="1:5" x14ac:dyDescent="0.4">
      <c r="A88" t="s">
        <v>8</v>
      </c>
      <c r="B88" t="s">
        <v>38</v>
      </c>
      <c r="C88">
        <v>14097.3</v>
      </c>
      <c r="D88">
        <f>VLOOKUP(表1_[[#This Row],[城市]],Sheet2!A:B,2,0)</f>
        <v>310000</v>
      </c>
      <c r="E88">
        <f>表1_[[#This Row],[年份]]+表1_[[#This Row],[行政区划]]</f>
        <v>312020</v>
      </c>
    </row>
    <row r="89" spans="1:5" x14ac:dyDescent="0.4">
      <c r="A89" t="s">
        <v>8</v>
      </c>
      <c r="B89" t="s">
        <v>39</v>
      </c>
      <c r="C89">
        <v>19284.3</v>
      </c>
      <c r="D89">
        <f>VLOOKUP(表1_[[#This Row],[城市]],Sheet2!A:B,2,0)</f>
        <v>310000</v>
      </c>
      <c r="E89">
        <f>表1_[[#This Row],[年份]]+表1_[[#This Row],[行政区划]]</f>
        <v>312021</v>
      </c>
    </row>
    <row r="90" spans="1:5" x14ac:dyDescent="0.4">
      <c r="A90" t="s">
        <v>8</v>
      </c>
      <c r="B90" t="s">
        <v>40</v>
      </c>
      <c r="C90">
        <v>24329.03</v>
      </c>
      <c r="D90">
        <f>VLOOKUP(表1_[[#This Row],[城市]],Sheet2!A:B,2,0)</f>
        <v>310000</v>
      </c>
      <c r="E90">
        <f>表1_[[#This Row],[年份]]+表1_[[#This Row],[行政区划]]</f>
        <v>312022</v>
      </c>
    </row>
    <row r="91" spans="1:5" x14ac:dyDescent="0.4">
      <c r="A91" t="s">
        <v>8</v>
      </c>
      <c r="B91" t="s">
        <v>41</v>
      </c>
      <c r="C91">
        <v>38057.199999999997</v>
      </c>
      <c r="D91">
        <f>VLOOKUP(表1_[[#This Row],[城市]],Sheet2!A:B,2,0)</f>
        <v>310000</v>
      </c>
      <c r="E91">
        <f>表1_[[#This Row],[年份]]+表1_[[#This Row],[行政区划]]</f>
        <v>312023</v>
      </c>
    </row>
    <row r="92" spans="1:5" x14ac:dyDescent="0.4">
      <c r="A92" t="s">
        <v>9</v>
      </c>
      <c r="B92" t="s">
        <v>32</v>
      </c>
      <c r="C92">
        <v>4677.66</v>
      </c>
      <c r="D92">
        <f>VLOOKUP(表1_[[#This Row],[城市]],Sheet2!A:B,2,0)</f>
        <v>320000</v>
      </c>
      <c r="E92">
        <f>表1_[[#This Row],[年份]]+表1_[[#This Row],[行政区划]]</f>
        <v>322014</v>
      </c>
    </row>
    <row r="93" spans="1:5" x14ac:dyDescent="0.4">
      <c r="A93" t="s">
        <v>9</v>
      </c>
      <c r="B93" t="s">
        <v>33</v>
      </c>
      <c r="C93">
        <v>4315.33</v>
      </c>
      <c r="D93">
        <f>VLOOKUP(表1_[[#This Row],[城市]],Sheet2!A:B,2,0)</f>
        <v>320000</v>
      </c>
      <c r="E93">
        <f>表1_[[#This Row],[年份]]+表1_[[#This Row],[行政区划]]</f>
        <v>322015</v>
      </c>
    </row>
    <row r="94" spans="1:5" x14ac:dyDescent="0.4">
      <c r="A94" t="s">
        <v>9</v>
      </c>
      <c r="B94" t="s">
        <v>34</v>
      </c>
      <c r="C94">
        <v>4406.2700000000004</v>
      </c>
      <c r="D94">
        <f>VLOOKUP(表1_[[#This Row],[城市]],Sheet2!A:B,2,0)</f>
        <v>320000</v>
      </c>
      <c r="E94">
        <f>表1_[[#This Row],[年份]]+表1_[[#This Row],[行政区划]]</f>
        <v>322016</v>
      </c>
    </row>
    <row r="95" spans="1:5" x14ac:dyDescent="0.4">
      <c r="A95" t="s">
        <v>9</v>
      </c>
      <c r="B95" t="s">
        <v>35</v>
      </c>
      <c r="C95">
        <v>5227.24</v>
      </c>
      <c r="D95">
        <f>VLOOKUP(表1_[[#This Row],[城市]],Sheet2!A:B,2,0)</f>
        <v>320000</v>
      </c>
      <c r="E95">
        <f>表1_[[#This Row],[年份]]+表1_[[#This Row],[行政区划]]</f>
        <v>322017</v>
      </c>
    </row>
    <row r="96" spans="1:5" x14ac:dyDescent="0.4">
      <c r="A96" t="s">
        <v>9</v>
      </c>
      <c r="B96" t="s">
        <v>36</v>
      </c>
      <c r="C96">
        <v>6534.76</v>
      </c>
      <c r="D96">
        <f>VLOOKUP(表1_[[#This Row],[城市]],Sheet2!A:B,2,0)</f>
        <v>320000</v>
      </c>
      <c r="E96">
        <f>表1_[[#This Row],[年份]]+表1_[[#This Row],[行政区划]]</f>
        <v>322018</v>
      </c>
    </row>
    <row r="97" spans="1:5" x14ac:dyDescent="0.4">
      <c r="A97" t="s">
        <v>9</v>
      </c>
      <c r="B97" t="s">
        <v>37</v>
      </c>
      <c r="C97">
        <v>7417.99</v>
      </c>
      <c r="D97">
        <f>VLOOKUP(表1_[[#This Row],[城市]],Sheet2!A:B,2,0)</f>
        <v>320000</v>
      </c>
      <c r="E97">
        <f>表1_[[#This Row],[年份]]+表1_[[#This Row],[行政区划]]</f>
        <v>322019</v>
      </c>
    </row>
    <row r="98" spans="1:5" x14ac:dyDescent="0.4">
      <c r="A98" t="s">
        <v>9</v>
      </c>
      <c r="B98" t="s">
        <v>38</v>
      </c>
      <c r="C98">
        <v>7713</v>
      </c>
      <c r="D98">
        <f>VLOOKUP(表1_[[#This Row],[城市]],Sheet2!A:B,2,0)</f>
        <v>320000</v>
      </c>
      <c r="E98">
        <f>表1_[[#This Row],[年份]]+表1_[[#This Row],[行政区划]]</f>
        <v>322020</v>
      </c>
    </row>
    <row r="99" spans="1:5" x14ac:dyDescent="0.4">
      <c r="A99" t="s">
        <v>9</v>
      </c>
      <c r="B99" t="s">
        <v>39</v>
      </c>
      <c r="C99">
        <v>7234.18</v>
      </c>
      <c r="D99">
        <f>VLOOKUP(表1_[[#This Row],[城市]],Sheet2!A:B,2,0)</f>
        <v>320000</v>
      </c>
      <c r="E99">
        <f>表1_[[#This Row],[年份]]+表1_[[#This Row],[行政区划]]</f>
        <v>322021</v>
      </c>
    </row>
    <row r="100" spans="1:5" x14ac:dyDescent="0.4">
      <c r="A100" t="s">
        <v>9</v>
      </c>
      <c r="B100" t="s">
        <v>40</v>
      </c>
      <c r="C100">
        <v>10566.52</v>
      </c>
      <c r="D100">
        <f>VLOOKUP(表1_[[#This Row],[城市]],Sheet2!A:B,2,0)</f>
        <v>320000</v>
      </c>
      <c r="E100">
        <f>表1_[[#This Row],[年份]]+表1_[[#This Row],[行政区划]]</f>
        <v>322022</v>
      </c>
    </row>
    <row r="101" spans="1:5" x14ac:dyDescent="0.4">
      <c r="A101" t="s">
        <v>9</v>
      </c>
      <c r="B101" t="s">
        <v>41</v>
      </c>
      <c r="C101">
        <v>13372.83</v>
      </c>
      <c r="D101">
        <f>VLOOKUP(表1_[[#This Row],[城市]],Sheet2!A:B,2,0)</f>
        <v>320000</v>
      </c>
      <c r="E101">
        <f>表1_[[#This Row],[年份]]+表1_[[#This Row],[行政区划]]</f>
        <v>322023</v>
      </c>
    </row>
    <row r="102" spans="1:5" x14ac:dyDescent="0.4">
      <c r="A102" t="s">
        <v>10</v>
      </c>
      <c r="B102" t="s">
        <v>32</v>
      </c>
      <c r="C102">
        <v>1770.45</v>
      </c>
      <c r="D102">
        <f>VLOOKUP(表1_[[#This Row],[城市]],Sheet2!A:B,2,0)</f>
        <v>330000</v>
      </c>
      <c r="E102">
        <f>表1_[[#This Row],[年份]]+表1_[[#This Row],[行政区划]]</f>
        <v>332014</v>
      </c>
    </row>
    <row r="103" spans="1:5" x14ac:dyDescent="0.4">
      <c r="A103" t="s">
        <v>10</v>
      </c>
      <c r="B103" t="s">
        <v>33</v>
      </c>
      <c r="C103">
        <v>1751.58</v>
      </c>
      <c r="D103">
        <f>VLOOKUP(表1_[[#This Row],[城市]],Sheet2!A:B,2,0)</f>
        <v>330000</v>
      </c>
      <c r="E103">
        <f>表1_[[#This Row],[年份]]+表1_[[#This Row],[行政区划]]</f>
        <v>332015</v>
      </c>
    </row>
    <row r="104" spans="1:5" x14ac:dyDescent="0.4">
      <c r="A104" t="s">
        <v>10</v>
      </c>
      <c r="B104" t="s">
        <v>34</v>
      </c>
      <c r="C104">
        <v>2261.63</v>
      </c>
      <c r="D104">
        <f>VLOOKUP(表1_[[#This Row],[城市]],Sheet2!A:B,2,0)</f>
        <v>330000</v>
      </c>
      <c r="E104">
        <f>表1_[[#This Row],[年份]]+表1_[[#This Row],[行政区划]]</f>
        <v>332016</v>
      </c>
    </row>
    <row r="105" spans="1:5" x14ac:dyDescent="0.4">
      <c r="A105" t="s">
        <v>10</v>
      </c>
      <c r="B105" t="s">
        <v>35</v>
      </c>
      <c r="C105">
        <v>2528.7399999999998</v>
      </c>
      <c r="D105">
        <f>VLOOKUP(表1_[[#This Row],[城市]],Sheet2!A:B,2,0)</f>
        <v>330000</v>
      </c>
      <c r="E105">
        <f>表1_[[#This Row],[年份]]+表1_[[#This Row],[行政区划]]</f>
        <v>332017</v>
      </c>
    </row>
    <row r="106" spans="1:5" x14ac:dyDescent="0.4">
      <c r="A106" t="s">
        <v>10</v>
      </c>
      <c r="B106" t="s">
        <v>36</v>
      </c>
      <c r="C106">
        <v>2648.93</v>
      </c>
      <c r="D106">
        <f>VLOOKUP(表1_[[#This Row],[城市]],Sheet2!A:B,2,0)</f>
        <v>330000</v>
      </c>
      <c r="E106">
        <f>表1_[[#This Row],[年份]]+表1_[[#This Row],[行政区划]]</f>
        <v>332018</v>
      </c>
    </row>
    <row r="107" spans="1:5" x14ac:dyDescent="0.4">
      <c r="A107" t="s">
        <v>10</v>
      </c>
      <c r="B107" t="s">
        <v>37</v>
      </c>
      <c r="C107">
        <v>4005.17</v>
      </c>
      <c r="D107">
        <f>VLOOKUP(表1_[[#This Row],[城市]],Sheet2!A:B,2,0)</f>
        <v>330000</v>
      </c>
      <c r="E107">
        <f>表1_[[#This Row],[年份]]+表1_[[#This Row],[行政区划]]</f>
        <v>332019</v>
      </c>
    </row>
    <row r="108" spans="1:5" x14ac:dyDescent="0.4">
      <c r="A108" t="s">
        <v>10</v>
      </c>
      <c r="B108" t="s">
        <v>38</v>
      </c>
      <c r="C108">
        <v>4377.1000000000004</v>
      </c>
      <c r="D108">
        <f>VLOOKUP(表1_[[#This Row],[城市]],Sheet2!A:B,2,0)</f>
        <v>330000</v>
      </c>
      <c r="E108">
        <f>表1_[[#This Row],[年份]]+表1_[[#This Row],[行政区划]]</f>
        <v>332020</v>
      </c>
    </row>
    <row r="109" spans="1:5" x14ac:dyDescent="0.4">
      <c r="A109" t="s">
        <v>10</v>
      </c>
      <c r="B109" t="s">
        <v>39</v>
      </c>
      <c r="C109">
        <v>4982.54</v>
      </c>
      <c r="D109">
        <f>VLOOKUP(表1_[[#This Row],[城市]],Sheet2!A:B,2,0)</f>
        <v>330000</v>
      </c>
      <c r="E109">
        <f>表1_[[#This Row],[年份]]+表1_[[#This Row],[行政区划]]</f>
        <v>332021</v>
      </c>
    </row>
    <row r="110" spans="1:5" x14ac:dyDescent="0.4">
      <c r="A110" t="s">
        <v>10</v>
      </c>
      <c r="B110" t="s">
        <v>40</v>
      </c>
      <c r="C110">
        <v>5841.24</v>
      </c>
      <c r="D110">
        <f>VLOOKUP(表1_[[#This Row],[城市]],Sheet2!A:B,2,0)</f>
        <v>330000</v>
      </c>
      <c r="E110">
        <f>表1_[[#This Row],[年份]]+表1_[[#This Row],[行政区划]]</f>
        <v>332022</v>
      </c>
    </row>
    <row r="111" spans="1:5" x14ac:dyDescent="0.4">
      <c r="A111" t="s">
        <v>10</v>
      </c>
      <c r="B111" t="s">
        <v>41</v>
      </c>
      <c r="C111">
        <v>7757.28</v>
      </c>
      <c r="D111">
        <f>VLOOKUP(表1_[[#This Row],[城市]],Sheet2!A:B,2,0)</f>
        <v>330000</v>
      </c>
      <c r="E111">
        <f>表1_[[#This Row],[年份]]+表1_[[#This Row],[行政区划]]</f>
        <v>332023</v>
      </c>
    </row>
    <row r="112" spans="1:5" x14ac:dyDescent="0.4">
      <c r="A112" t="s">
        <v>11</v>
      </c>
      <c r="B112" t="s">
        <v>32</v>
      </c>
      <c r="C112">
        <v>1377.14</v>
      </c>
      <c r="D112">
        <f>VLOOKUP(表1_[[#This Row],[城市]],Sheet2!A:B,2,0)</f>
        <v>340000</v>
      </c>
      <c r="E112">
        <f>表1_[[#This Row],[年份]]+表1_[[#This Row],[行政区划]]</f>
        <v>342014</v>
      </c>
    </row>
    <row r="113" spans="1:5" x14ac:dyDescent="0.4">
      <c r="A113" t="s">
        <v>11</v>
      </c>
      <c r="B113" t="s">
        <v>33</v>
      </c>
      <c r="C113">
        <v>1921.8</v>
      </c>
      <c r="D113">
        <f>VLOOKUP(表1_[[#This Row],[城市]],Sheet2!A:B,2,0)</f>
        <v>340000</v>
      </c>
      <c r="E113">
        <f>表1_[[#This Row],[年份]]+表1_[[#This Row],[行政区划]]</f>
        <v>342015</v>
      </c>
    </row>
    <row r="114" spans="1:5" x14ac:dyDescent="0.4">
      <c r="A114" t="s">
        <v>11</v>
      </c>
      <c r="B114" t="s">
        <v>34</v>
      </c>
      <c r="C114">
        <v>1967.69</v>
      </c>
      <c r="D114">
        <f>VLOOKUP(表1_[[#This Row],[城市]],Sheet2!A:B,2,0)</f>
        <v>340000</v>
      </c>
      <c r="E114">
        <f>表1_[[#This Row],[年份]]+表1_[[#This Row],[行政区划]]</f>
        <v>342016</v>
      </c>
    </row>
    <row r="115" spans="1:5" x14ac:dyDescent="0.4">
      <c r="A115" t="s">
        <v>11</v>
      </c>
      <c r="B115" t="s">
        <v>35</v>
      </c>
      <c r="C115">
        <v>1951.23</v>
      </c>
      <c r="D115">
        <f>VLOOKUP(表1_[[#This Row],[城市]],Sheet2!A:B,2,0)</f>
        <v>340000</v>
      </c>
      <c r="E115">
        <f>表1_[[#This Row],[年份]]+表1_[[#This Row],[行政区划]]</f>
        <v>342017</v>
      </c>
    </row>
    <row r="116" spans="1:5" x14ac:dyDescent="0.4">
      <c r="A116" t="s">
        <v>11</v>
      </c>
      <c r="B116" t="s">
        <v>36</v>
      </c>
      <c r="C116">
        <v>2103.1799999999998</v>
      </c>
      <c r="D116">
        <f>VLOOKUP(表1_[[#This Row],[城市]],Sheet2!A:B,2,0)</f>
        <v>340000</v>
      </c>
      <c r="E116">
        <f>表1_[[#This Row],[年份]]+表1_[[#This Row],[行政区划]]</f>
        <v>342018</v>
      </c>
    </row>
    <row r="117" spans="1:5" x14ac:dyDescent="0.4">
      <c r="A117" t="s">
        <v>11</v>
      </c>
      <c r="B117" t="s">
        <v>37</v>
      </c>
      <c r="C117">
        <v>2231.3000000000002</v>
      </c>
      <c r="D117">
        <f>VLOOKUP(表1_[[#This Row],[城市]],Sheet2!A:B,2,0)</f>
        <v>340000</v>
      </c>
      <c r="E117">
        <f>表1_[[#This Row],[年份]]+表1_[[#This Row],[行政区划]]</f>
        <v>342019</v>
      </c>
    </row>
    <row r="118" spans="1:5" x14ac:dyDescent="0.4">
      <c r="A118" t="s">
        <v>11</v>
      </c>
      <c r="B118" t="s">
        <v>38</v>
      </c>
      <c r="C118">
        <v>2734.4</v>
      </c>
      <c r="D118">
        <f>VLOOKUP(表1_[[#This Row],[城市]],Sheet2!A:B,2,0)</f>
        <v>340000</v>
      </c>
      <c r="E118">
        <f>表1_[[#This Row],[年份]]+表1_[[#This Row],[行政区划]]</f>
        <v>342020</v>
      </c>
    </row>
    <row r="119" spans="1:5" x14ac:dyDescent="0.4">
      <c r="A119" t="s">
        <v>11</v>
      </c>
      <c r="B119" t="s">
        <v>39</v>
      </c>
      <c r="C119">
        <v>3647.18</v>
      </c>
      <c r="D119">
        <f>VLOOKUP(表1_[[#This Row],[城市]],Sheet2!A:B,2,0)</f>
        <v>340000</v>
      </c>
      <c r="E119">
        <f>表1_[[#This Row],[年份]]+表1_[[#This Row],[行政区划]]</f>
        <v>342021</v>
      </c>
    </row>
    <row r="120" spans="1:5" x14ac:dyDescent="0.4">
      <c r="A120" t="s">
        <v>11</v>
      </c>
      <c r="B120" t="s">
        <v>40</v>
      </c>
      <c r="C120">
        <v>3944.22</v>
      </c>
      <c r="D120">
        <f>VLOOKUP(表1_[[#This Row],[城市]],Sheet2!A:B,2,0)</f>
        <v>340000</v>
      </c>
      <c r="E120">
        <f>表1_[[#This Row],[年份]]+表1_[[#This Row],[行政区划]]</f>
        <v>342022</v>
      </c>
    </row>
    <row r="121" spans="1:5" x14ac:dyDescent="0.4">
      <c r="A121" t="s">
        <v>11</v>
      </c>
      <c r="B121" t="s">
        <v>41</v>
      </c>
      <c r="C121">
        <v>4987.1099999999997</v>
      </c>
      <c r="D121">
        <f>VLOOKUP(表1_[[#This Row],[城市]],Sheet2!A:B,2,0)</f>
        <v>340000</v>
      </c>
      <c r="E121">
        <f>表1_[[#This Row],[年份]]+表1_[[#This Row],[行政区划]]</f>
        <v>342023</v>
      </c>
    </row>
    <row r="122" spans="1:5" x14ac:dyDescent="0.4">
      <c r="A122" t="s">
        <v>12</v>
      </c>
      <c r="B122" t="s">
        <v>32</v>
      </c>
      <c r="C122">
        <v>768.94</v>
      </c>
      <c r="D122">
        <f>VLOOKUP(表1_[[#This Row],[城市]],Sheet2!A:B,2,0)</f>
        <v>350000</v>
      </c>
      <c r="E122">
        <f>表1_[[#This Row],[年份]]+表1_[[#This Row],[行政区划]]</f>
        <v>352014</v>
      </c>
    </row>
    <row r="123" spans="1:5" x14ac:dyDescent="0.4">
      <c r="A123" t="s">
        <v>12</v>
      </c>
      <c r="B123" t="s">
        <v>33</v>
      </c>
      <c r="C123">
        <v>820.27</v>
      </c>
      <c r="D123">
        <f>VLOOKUP(表1_[[#This Row],[城市]],Sheet2!A:B,2,0)</f>
        <v>350000</v>
      </c>
      <c r="E123">
        <f>表1_[[#This Row],[年份]]+表1_[[#This Row],[行政区划]]</f>
        <v>352015</v>
      </c>
    </row>
    <row r="124" spans="1:5" x14ac:dyDescent="0.4">
      <c r="A124" t="s">
        <v>12</v>
      </c>
      <c r="B124" t="s">
        <v>34</v>
      </c>
      <c r="C124">
        <v>877.94</v>
      </c>
      <c r="D124">
        <f>VLOOKUP(表1_[[#This Row],[城市]],Sheet2!A:B,2,0)</f>
        <v>350000</v>
      </c>
      <c r="E124">
        <f>表1_[[#This Row],[年份]]+表1_[[#This Row],[行政区划]]</f>
        <v>352016</v>
      </c>
    </row>
    <row r="125" spans="1:5" x14ac:dyDescent="0.4">
      <c r="A125" t="s">
        <v>12</v>
      </c>
      <c r="B125" t="s">
        <v>35</v>
      </c>
      <c r="C125">
        <v>1043.32</v>
      </c>
      <c r="D125">
        <f>VLOOKUP(表1_[[#This Row],[城市]],Sheet2!A:B,2,0)</f>
        <v>350000</v>
      </c>
      <c r="E125">
        <f>表1_[[#This Row],[年份]]+表1_[[#This Row],[行政区划]]</f>
        <v>352017</v>
      </c>
    </row>
    <row r="126" spans="1:5" x14ac:dyDescent="0.4">
      <c r="A126" t="s">
        <v>12</v>
      </c>
      <c r="B126" t="s">
        <v>36</v>
      </c>
      <c r="C126">
        <v>998.1</v>
      </c>
      <c r="D126">
        <f>VLOOKUP(表1_[[#This Row],[城市]],Sheet2!A:B,2,0)</f>
        <v>350000</v>
      </c>
      <c r="E126">
        <f>表1_[[#This Row],[年份]]+表1_[[#This Row],[行政区划]]</f>
        <v>352018</v>
      </c>
    </row>
    <row r="127" spans="1:5" x14ac:dyDescent="0.4">
      <c r="A127" t="s">
        <v>12</v>
      </c>
      <c r="B127" t="s">
        <v>37</v>
      </c>
      <c r="C127">
        <v>1725.13</v>
      </c>
      <c r="D127">
        <f>VLOOKUP(表1_[[#This Row],[城市]],Sheet2!A:B,2,0)</f>
        <v>350000</v>
      </c>
      <c r="E127">
        <f>表1_[[#This Row],[年份]]+表1_[[#This Row],[行政区划]]</f>
        <v>352019</v>
      </c>
    </row>
    <row r="128" spans="1:5" x14ac:dyDescent="0.4">
      <c r="A128" t="s">
        <v>12</v>
      </c>
      <c r="B128" t="s">
        <v>38</v>
      </c>
      <c r="C128">
        <v>1767.2</v>
      </c>
      <c r="D128">
        <f>VLOOKUP(表1_[[#This Row],[城市]],Sheet2!A:B,2,0)</f>
        <v>350000</v>
      </c>
      <c r="E128">
        <f>表1_[[#This Row],[年份]]+表1_[[#This Row],[行政区划]]</f>
        <v>352020</v>
      </c>
    </row>
    <row r="129" spans="1:5" x14ac:dyDescent="0.4">
      <c r="A129" t="s">
        <v>12</v>
      </c>
      <c r="B129" t="s">
        <v>39</v>
      </c>
      <c r="C129">
        <v>2292.39</v>
      </c>
      <c r="D129">
        <f>VLOOKUP(表1_[[#This Row],[城市]],Sheet2!A:B,2,0)</f>
        <v>350000</v>
      </c>
      <c r="E129">
        <f>表1_[[#This Row],[年份]]+表1_[[#This Row],[行政区划]]</f>
        <v>352021</v>
      </c>
    </row>
    <row r="130" spans="1:5" x14ac:dyDescent="0.4">
      <c r="A130" t="s">
        <v>12</v>
      </c>
      <c r="B130" t="s">
        <v>40</v>
      </c>
      <c r="C130">
        <v>2240.7600000000002</v>
      </c>
      <c r="D130">
        <f>VLOOKUP(表1_[[#This Row],[城市]],Sheet2!A:B,2,0)</f>
        <v>350000</v>
      </c>
      <c r="E130">
        <f>表1_[[#This Row],[年份]]+表1_[[#This Row],[行政区划]]</f>
        <v>352022</v>
      </c>
    </row>
    <row r="131" spans="1:5" x14ac:dyDescent="0.4">
      <c r="A131" t="s">
        <v>12</v>
      </c>
      <c r="B131" t="s">
        <v>41</v>
      </c>
      <c r="C131">
        <v>2862.38</v>
      </c>
      <c r="D131">
        <f>VLOOKUP(表1_[[#This Row],[城市]],Sheet2!A:B,2,0)</f>
        <v>350000</v>
      </c>
      <c r="E131">
        <f>表1_[[#This Row],[年份]]+表1_[[#This Row],[行政区划]]</f>
        <v>352023</v>
      </c>
    </row>
    <row r="132" spans="1:5" x14ac:dyDescent="0.4">
      <c r="A132" t="s">
        <v>13</v>
      </c>
      <c r="B132" t="s">
        <v>32</v>
      </c>
      <c r="C132">
        <v>424.61</v>
      </c>
      <c r="D132">
        <f>VLOOKUP(表1_[[#This Row],[城市]],Sheet2!A:B,2,0)</f>
        <v>360000</v>
      </c>
      <c r="E132">
        <f>表1_[[#This Row],[年份]]+表1_[[#This Row],[行政区划]]</f>
        <v>362014</v>
      </c>
    </row>
    <row r="133" spans="1:5" x14ac:dyDescent="0.4">
      <c r="A133" t="s">
        <v>13</v>
      </c>
      <c r="B133" t="s">
        <v>33</v>
      </c>
      <c r="C133">
        <v>575.21</v>
      </c>
      <c r="D133">
        <f>VLOOKUP(表1_[[#This Row],[城市]],Sheet2!A:B,2,0)</f>
        <v>360000</v>
      </c>
      <c r="E133">
        <f>表1_[[#This Row],[年份]]+表1_[[#This Row],[行政区划]]</f>
        <v>362015</v>
      </c>
    </row>
    <row r="134" spans="1:5" x14ac:dyDescent="0.4">
      <c r="A134" t="s">
        <v>13</v>
      </c>
      <c r="B134" t="s">
        <v>34</v>
      </c>
      <c r="C134">
        <v>657.61</v>
      </c>
      <c r="D134">
        <f>VLOOKUP(表1_[[#This Row],[城市]],Sheet2!A:B,2,0)</f>
        <v>360000</v>
      </c>
      <c r="E134">
        <f>表1_[[#This Row],[年份]]+表1_[[#This Row],[行政区划]]</f>
        <v>362016</v>
      </c>
    </row>
    <row r="135" spans="1:5" x14ac:dyDescent="0.4">
      <c r="A135" t="s">
        <v>13</v>
      </c>
      <c r="B135" t="s">
        <v>35</v>
      </c>
      <c r="C135">
        <v>940.73</v>
      </c>
      <c r="D135">
        <f>VLOOKUP(表1_[[#This Row],[城市]],Sheet2!A:B,2,0)</f>
        <v>360000</v>
      </c>
      <c r="E135">
        <f>表1_[[#This Row],[年份]]+表1_[[#This Row],[行政区划]]</f>
        <v>362017</v>
      </c>
    </row>
    <row r="136" spans="1:5" x14ac:dyDescent="0.4">
      <c r="A136" t="s">
        <v>13</v>
      </c>
      <c r="B136" t="s">
        <v>36</v>
      </c>
      <c r="C136">
        <v>1048.8699999999999</v>
      </c>
      <c r="D136">
        <f>VLOOKUP(表1_[[#This Row],[城市]],Sheet2!A:B,2,0)</f>
        <v>360000</v>
      </c>
      <c r="E136">
        <f>表1_[[#This Row],[年份]]+表1_[[#This Row],[行政区划]]</f>
        <v>362018</v>
      </c>
    </row>
    <row r="137" spans="1:5" x14ac:dyDescent="0.4">
      <c r="A137" t="s">
        <v>13</v>
      </c>
      <c r="B137" t="s">
        <v>37</v>
      </c>
      <c r="C137">
        <v>1369.07</v>
      </c>
      <c r="D137">
        <f>VLOOKUP(表1_[[#This Row],[城市]],Sheet2!A:B,2,0)</f>
        <v>360000</v>
      </c>
      <c r="E137">
        <f>表1_[[#This Row],[年份]]+表1_[[#This Row],[行政区划]]</f>
        <v>362019</v>
      </c>
    </row>
    <row r="138" spans="1:5" x14ac:dyDescent="0.4">
      <c r="A138" t="s">
        <v>13</v>
      </c>
      <c r="B138" t="s">
        <v>38</v>
      </c>
      <c r="C138">
        <v>1585.2</v>
      </c>
      <c r="D138">
        <f>VLOOKUP(表1_[[#This Row],[城市]],Sheet2!A:B,2,0)</f>
        <v>360000</v>
      </c>
      <c r="E138">
        <f>表1_[[#This Row],[年份]]+表1_[[#This Row],[行政区划]]</f>
        <v>362020</v>
      </c>
    </row>
    <row r="139" spans="1:5" x14ac:dyDescent="0.4">
      <c r="A139" t="s">
        <v>13</v>
      </c>
      <c r="B139" t="s">
        <v>39</v>
      </c>
      <c r="C139">
        <v>1860.14</v>
      </c>
      <c r="D139">
        <f>VLOOKUP(表1_[[#This Row],[城市]],Sheet2!A:B,2,0)</f>
        <v>360000</v>
      </c>
      <c r="E139">
        <f>表1_[[#This Row],[年份]]+表1_[[#This Row],[行政区划]]</f>
        <v>362021</v>
      </c>
    </row>
    <row r="140" spans="1:5" x14ac:dyDescent="0.4">
      <c r="A140" t="s">
        <v>13</v>
      </c>
      <c r="B140" t="s">
        <v>40</v>
      </c>
      <c r="C140">
        <v>1275.1099999999999</v>
      </c>
      <c r="D140">
        <f>VLOOKUP(表1_[[#This Row],[城市]],Sheet2!A:B,2,0)</f>
        <v>360000</v>
      </c>
      <c r="E140">
        <f>表1_[[#This Row],[年份]]+表1_[[#This Row],[行政区划]]</f>
        <v>362022</v>
      </c>
    </row>
    <row r="141" spans="1:5" x14ac:dyDescent="0.4">
      <c r="A141" t="s">
        <v>13</v>
      </c>
      <c r="B141" t="s">
        <v>41</v>
      </c>
      <c r="C141">
        <v>1411.35</v>
      </c>
      <c r="D141">
        <f>VLOOKUP(表1_[[#This Row],[城市]],Sheet2!A:B,2,0)</f>
        <v>360000</v>
      </c>
      <c r="E141">
        <f>表1_[[#This Row],[年份]]+表1_[[#This Row],[行政区划]]</f>
        <v>362023</v>
      </c>
    </row>
    <row r="142" spans="1:5" x14ac:dyDescent="0.4">
      <c r="A142" t="s">
        <v>14</v>
      </c>
      <c r="B142" t="s">
        <v>32</v>
      </c>
      <c r="C142">
        <v>3660.49</v>
      </c>
      <c r="D142">
        <f>VLOOKUP(表1_[[#This Row],[城市]],Sheet2!A:B,2,0)</f>
        <v>370000</v>
      </c>
      <c r="E142">
        <f>表1_[[#This Row],[年份]]+表1_[[#This Row],[行政区划]]</f>
        <v>372014</v>
      </c>
    </row>
    <row r="143" spans="1:5" x14ac:dyDescent="0.4">
      <c r="A143" t="s">
        <v>14</v>
      </c>
      <c r="B143" t="s">
        <v>33</v>
      </c>
      <c r="C143">
        <v>3713.22</v>
      </c>
      <c r="D143">
        <f>VLOOKUP(表1_[[#This Row],[城市]],Sheet2!A:B,2,0)</f>
        <v>370000</v>
      </c>
      <c r="E143">
        <f>表1_[[#This Row],[年份]]+表1_[[#This Row],[行政区划]]</f>
        <v>372015</v>
      </c>
    </row>
    <row r="144" spans="1:5" x14ac:dyDescent="0.4">
      <c r="A144" t="s">
        <v>14</v>
      </c>
      <c r="B144" t="s">
        <v>34</v>
      </c>
      <c r="C144">
        <v>6349.15</v>
      </c>
      <c r="D144">
        <f>VLOOKUP(表1_[[#This Row],[城市]],Sheet2!A:B,2,0)</f>
        <v>370000</v>
      </c>
      <c r="E144">
        <f>表1_[[#This Row],[年份]]+表1_[[#This Row],[行政区划]]</f>
        <v>372016</v>
      </c>
    </row>
    <row r="145" spans="1:5" x14ac:dyDescent="0.4">
      <c r="A145" t="s">
        <v>14</v>
      </c>
      <c r="B145" t="s">
        <v>35</v>
      </c>
      <c r="C145">
        <v>8292.1299999999992</v>
      </c>
      <c r="D145">
        <f>VLOOKUP(表1_[[#This Row],[城市]],Sheet2!A:B,2,0)</f>
        <v>370000</v>
      </c>
      <c r="E145">
        <f>表1_[[#This Row],[年份]]+表1_[[#This Row],[行政区划]]</f>
        <v>372017</v>
      </c>
    </row>
    <row r="146" spans="1:5" x14ac:dyDescent="0.4">
      <c r="A146" t="s">
        <v>14</v>
      </c>
      <c r="B146" t="s">
        <v>36</v>
      </c>
      <c r="C146">
        <v>10034.34</v>
      </c>
      <c r="D146">
        <f>VLOOKUP(表1_[[#This Row],[城市]],Sheet2!A:B,2,0)</f>
        <v>370000</v>
      </c>
      <c r="E146">
        <f>表1_[[#This Row],[年份]]+表1_[[#This Row],[行政区划]]</f>
        <v>372018</v>
      </c>
    </row>
    <row r="147" spans="1:5" x14ac:dyDescent="0.4">
      <c r="A147" t="s">
        <v>14</v>
      </c>
      <c r="B147" t="s">
        <v>37</v>
      </c>
      <c r="C147">
        <v>7959.77</v>
      </c>
      <c r="D147">
        <f>VLOOKUP(表1_[[#This Row],[城市]],Sheet2!A:B,2,0)</f>
        <v>370000</v>
      </c>
      <c r="E147">
        <f>表1_[[#This Row],[年份]]+表1_[[#This Row],[行政区划]]</f>
        <v>372019</v>
      </c>
    </row>
    <row r="148" spans="1:5" x14ac:dyDescent="0.4">
      <c r="A148" t="s">
        <v>14</v>
      </c>
      <c r="B148" t="s">
        <v>38</v>
      </c>
      <c r="C148">
        <v>7629.8</v>
      </c>
      <c r="D148">
        <f>VLOOKUP(表1_[[#This Row],[城市]],Sheet2!A:B,2,0)</f>
        <v>370000</v>
      </c>
      <c r="E148">
        <f>表1_[[#This Row],[年份]]+表1_[[#This Row],[行政区划]]</f>
        <v>372020</v>
      </c>
    </row>
    <row r="149" spans="1:5" x14ac:dyDescent="0.4">
      <c r="A149" t="s">
        <v>14</v>
      </c>
      <c r="B149" t="s">
        <v>39</v>
      </c>
      <c r="C149">
        <v>9115.57</v>
      </c>
      <c r="D149">
        <f>VLOOKUP(表1_[[#This Row],[城市]],Sheet2!A:B,2,0)</f>
        <v>370000</v>
      </c>
      <c r="E149">
        <f>表1_[[#This Row],[年份]]+表1_[[#This Row],[行政区划]]</f>
        <v>372021</v>
      </c>
    </row>
    <row r="150" spans="1:5" x14ac:dyDescent="0.4">
      <c r="A150" t="s">
        <v>14</v>
      </c>
      <c r="B150" t="s">
        <v>40</v>
      </c>
      <c r="C150">
        <v>11298.2</v>
      </c>
      <c r="D150">
        <f>VLOOKUP(表1_[[#This Row],[城市]],Sheet2!A:B,2,0)</f>
        <v>370000</v>
      </c>
      <c r="E150">
        <f>表1_[[#This Row],[年份]]+表1_[[#This Row],[行政区划]]</f>
        <v>372022</v>
      </c>
    </row>
    <row r="151" spans="1:5" x14ac:dyDescent="0.4">
      <c r="A151" t="s">
        <v>14</v>
      </c>
      <c r="B151" t="s">
        <v>41</v>
      </c>
      <c r="C151">
        <v>13864.83</v>
      </c>
      <c r="D151">
        <f>VLOOKUP(表1_[[#This Row],[城市]],Sheet2!A:B,2,0)</f>
        <v>370000</v>
      </c>
      <c r="E151">
        <f>表1_[[#This Row],[年份]]+表1_[[#This Row],[行政区划]]</f>
        <v>372023</v>
      </c>
    </row>
    <row r="152" spans="1:5" x14ac:dyDescent="0.4">
      <c r="A152" t="s">
        <v>15</v>
      </c>
      <c r="B152" t="s">
        <v>32</v>
      </c>
      <c r="C152">
        <v>1357.06</v>
      </c>
      <c r="D152">
        <f>VLOOKUP(表1_[[#This Row],[城市]],Sheet2!A:B,2,0)</f>
        <v>410000</v>
      </c>
      <c r="E152">
        <f>表1_[[#This Row],[年份]]+表1_[[#This Row],[行政区划]]</f>
        <v>412014</v>
      </c>
    </row>
    <row r="153" spans="1:5" x14ac:dyDescent="0.4">
      <c r="A153" t="s">
        <v>15</v>
      </c>
      <c r="B153" t="s">
        <v>33</v>
      </c>
      <c r="C153">
        <v>1559.68</v>
      </c>
      <c r="D153">
        <f>VLOOKUP(表1_[[#This Row],[城市]],Sheet2!A:B,2,0)</f>
        <v>410000</v>
      </c>
      <c r="E153">
        <f>表1_[[#This Row],[年份]]+表1_[[#This Row],[行政区划]]</f>
        <v>412015</v>
      </c>
    </row>
    <row r="154" spans="1:5" x14ac:dyDescent="0.4">
      <c r="A154" t="s">
        <v>15</v>
      </c>
      <c r="B154" t="s">
        <v>34</v>
      </c>
      <c r="C154">
        <v>1596.41</v>
      </c>
      <c r="D154">
        <f>VLOOKUP(表1_[[#This Row],[城市]],Sheet2!A:B,2,0)</f>
        <v>410000</v>
      </c>
      <c r="E154">
        <f>表1_[[#This Row],[年份]]+表1_[[#This Row],[行政区划]]</f>
        <v>412016</v>
      </c>
    </row>
    <row r="155" spans="1:5" x14ac:dyDescent="0.4">
      <c r="A155" t="s">
        <v>15</v>
      </c>
      <c r="B155" t="s">
        <v>35</v>
      </c>
      <c r="C155">
        <v>1752.68</v>
      </c>
      <c r="D155">
        <f>VLOOKUP(表1_[[#This Row],[城市]],Sheet2!A:B,2,0)</f>
        <v>410000</v>
      </c>
      <c r="E155">
        <f>表1_[[#This Row],[年份]]+表1_[[#This Row],[行政区划]]</f>
        <v>412017</v>
      </c>
    </row>
    <row r="156" spans="1:5" x14ac:dyDescent="0.4">
      <c r="A156" t="s">
        <v>15</v>
      </c>
      <c r="B156" t="s">
        <v>36</v>
      </c>
      <c r="C156">
        <v>2220.21</v>
      </c>
      <c r="D156">
        <f>VLOOKUP(表1_[[#This Row],[城市]],Sheet2!A:B,2,0)</f>
        <v>410000</v>
      </c>
      <c r="E156">
        <f>表1_[[#This Row],[年份]]+表1_[[#This Row],[行政区划]]</f>
        <v>412018</v>
      </c>
    </row>
    <row r="157" spans="1:5" x14ac:dyDescent="0.4">
      <c r="A157" t="s">
        <v>15</v>
      </c>
      <c r="B157" t="s">
        <v>37</v>
      </c>
      <c r="C157">
        <v>2460.14</v>
      </c>
      <c r="D157">
        <f>VLOOKUP(表1_[[#This Row],[城市]],Sheet2!A:B,2,0)</f>
        <v>410000</v>
      </c>
      <c r="E157">
        <f>表1_[[#This Row],[年份]]+表1_[[#This Row],[行政区划]]</f>
        <v>412019</v>
      </c>
    </row>
    <row r="158" spans="1:5" x14ac:dyDescent="0.4">
      <c r="A158" t="s">
        <v>15</v>
      </c>
      <c r="B158" t="s">
        <v>38</v>
      </c>
      <c r="C158">
        <v>2672.1</v>
      </c>
      <c r="D158">
        <f>VLOOKUP(表1_[[#This Row],[城市]],Sheet2!A:B,2,0)</f>
        <v>410000</v>
      </c>
      <c r="E158">
        <f>表1_[[#This Row],[年份]]+表1_[[#This Row],[行政区划]]</f>
        <v>412020</v>
      </c>
    </row>
    <row r="159" spans="1:5" x14ac:dyDescent="0.4">
      <c r="A159" t="s">
        <v>15</v>
      </c>
      <c r="B159" t="s">
        <v>39</v>
      </c>
      <c r="C159">
        <v>3523.58</v>
      </c>
      <c r="D159">
        <f>VLOOKUP(表1_[[#This Row],[城市]],Sheet2!A:B,2,0)</f>
        <v>410000</v>
      </c>
      <c r="E159">
        <f>表1_[[#This Row],[年份]]+表1_[[#This Row],[行政区划]]</f>
        <v>412021</v>
      </c>
    </row>
    <row r="160" spans="1:5" x14ac:dyDescent="0.4">
      <c r="A160" t="s">
        <v>15</v>
      </c>
      <c r="B160" t="s">
        <v>40</v>
      </c>
      <c r="C160">
        <v>3205.6</v>
      </c>
      <c r="D160">
        <f>VLOOKUP(表1_[[#This Row],[城市]],Sheet2!A:B,2,0)</f>
        <v>410000</v>
      </c>
      <c r="E160">
        <f>表1_[[#This Row],[年份]]+表1_[[#This Row],[行政区划]]</f>
        <v>412022</v>
      </c>
    </row>
    <row r="161" spans="1:5" x14ac:dyDescent="0.4">
      <c r="A161" t="s">
        <v>15</v>
      </c>
      <c r="B161" t="s">
        <v>41</v>
      </c>
      <c r="C161">
        <v>3953.67</v>
      </c>
      <c r="D161">
        <f>VLOOKUP(表1_[[#This Row],[城市]],Sheet2!A:B,2,0)</f>
        <v>410000</v>
      </c>
      <c r="E161">
        <f>表1_[[#This Row],[年份]]+表1_[[#This Row],[行政区划]]</f>
        <v>412023</v>
      </c>
    </row>
    <row r="162" spans="1:5" x14ac:dyDescent="0.4">
      <c r="A162" t="s">
        <v>16</v>
      </c>
      <c r="B162" t="s">
        <v>32</v>
      </c>
      <c r="C162">
        <v>1344.94</v>
      </c>
      <c r="D162">
        <f>VLOOKUP(表1_[[#This Row],[城市]],Sheet2!A:B,2,0)</f>
        <v>420000</v>
      </c>
      <c r="E162">
        <f>表1_[[#This Row],[年份]]+表1_[[#This Row],[行政区划]]</f>
        <v>422014</v>
      </c>
    </row>
    <row r="163" spans="1:5" x14ac:dyDescent="0.4">
      <c r="A163" t="s">
        <v>16</v>
      </c>
      <c r="B163" t="s">
        <v>33</v>
      </c>
      <c r="C163">
        <v>1140.76</v>
      </c>
      <c r="D163">
        <f>VLOOKUP(表1_[[#This Row],[城市]],Sheet2!A:B,2,0)</f>
        <v>420000</v>
      </c>
      <c r="E163">
        <f>表1_[[#This Row],[年份]]+表1_[[#This Row],[行政区划]]</f>
        <v>422015</v>
      </c>
    </row>
    <row r="164" spans="1:5" x14ac:dyDescent="0.4">
      <c r="A164" t="s">
        <v>16</v>
      </c>
      <c r="B164" t="s">
        <v>34</v>
      </c>
      <c r="C164">
        <v>1455.18</v>
      </c>
      <c r="D164">
        <f>VLOOKUP(表1_[[#This Row],[城市]],Sheet2!A:B,2,0)</f>
        <v>420000</v>
      </c>
      <c r="E164">
        <f>表1_[[#This Row],[年份]]+表1_[[#This Row],[行政区划]]</f>
        <v>422016</v>
      </c>
    </row>
    <row r="165" spans="1:5" x14ac:dyDescent="0.4">
      <c r="A165" t="s">
        <v>16</v>
      </c>
      <c r="B165" t="s">
        <v>35</v>
      </c>
      <c r="C165">
        <v>1755.55</v>
      </c>
      <c r="D165">
        <f>VLOOKUP(表1_[[#This Row],[城市]],Sheet2!A:B,2,0)</f>
        <v>420000</v>
      </c>
      <c r="E165">
        <f>表1_[[#This Row],[年份]]+表1_[[#This Row],[行政区划]]</f>
        <v>422017</v>
      </c>
    </row>
    <row r="166" spans="1:5" x14ac:dyDescent="0.4">
      <c r="A166" t="s">
        <v>16</v>
      </c>
      <c r="B166" t="s">
        <v>36</v>
      </c>
      <c r="C166">
        <v>1825.92</v>
      </c>
      <c r="D166">
        <f>VLOOKUP(表1_[[#This Row],[城市]],Sheet2!A:B,2,0)</f>
        <v>420000</v>
      </c>
      <c r="E166">
        <f>表1_[[#This Row],[年份]]+表1_[[#This Row],[行政区划]]</f>
        <v>422018</v>
      </c>
    </row>
    <row r="167" spans="1:5" x14ac:dyDescent="0.4">
      <c r="A167" t="s">
        <v>16</v>
      </c>
      <c r="B167" t="s">
        <v>37</v>
      </c>
      <c r="C167">
        <v>3074.54</v>
      </c>
      <c r="D167">
        <f>VLOOKUP(表1_[[#This Row],[城市]],Sheet2!A:B,2,0)</f>
        <v>420000</v>
      </c>
      <c r="E167">
        <f>表1_[[#This Row],[年份]]+表1_[[#This Row],[行政区划]]</f>
        <v>422019</v>
      </c>
    </row>
    <row r="168" spans="1:5" x14ac:dyDescent="0.4">
      <c r="A168" t="s">
        <v>16</v>
      </c>
      <c r="B168" t="s">
        <v>38</v>
      </c>
      <c r="C168">
        <v>2946.9</v>
      </c>
      <c r="D168">
        <f>VLOOKUP(表1_[[#This Row],[城市]],Sheet2!A:B,2,0)</f>
        <v>420000</v>
      </c>
      <c r="E168">
        <f>表1_[[#This Row],[年份]]+表1_[[#This Row],[行政区划]]</f>
        <v>422020</v>
      </c>
    </row>
    <row r="169" spans="1:5" x14ac:dyDescent="0.4">
      <c r="A169" t="s">
        <v>16</v>
      </c>
      <c r="B169" t="s">
        <v>39</v>
      </c>
      <c r="C169">
        <v>3495.6</v>
      </c>
      <c r="D169">
        <f>VLOOKUP(表1_[[#This Row],[城市]],Sheet2!A:B,2,0)</f>
        <v>420000</v>
      </c>
      <c r="E169">
        <f>表1_[[#This Row],[年份]]+表1_[[#This Row],[行政区划]]</f>
        <v>422021</v>
      </c>
    </row>
    <row r="170" spans="1:5" x14ac:dyDescent="0.4">
      <c r="A170" t="s">
        <v>16</v>
      </c>
      <c r="B170" t="s">
        <v>40</v>
      </c>
      <c r="C170">
        <v>4157.38</v>
      </c>
      <c r="D170">
        <f>VLOOKUP(表1_[[#This Row],[城市]],Sheet2!A:B,2,0)</f>
        <v>420000</v>
      </c>
      <c r="E170">
        <f>表1_[[#This Row],[年份]]+表1_[[#This Row],[行政区划]]</f>
        <v>422022</v>
      </c>
    </row>
    <row r="171" spans="1:5" x14ac:dyDescent="0.4">
      <c r="A171" t="s">
        <v>16</v>
      </c>
      <c r="B171" t="s">
        <v>41</v>
      </c>
      <c r="C171">
        <v>4446.93</v>
      </c>
      <c r="D171">
        <f>VLOOKUP(表1_[[#This Row],[城市]],Sheet2!A:B,2,0)</f>
        <v>420000</v>
      </c>
      <c r="E171">
        <f>表1_[[#This Row],[年份]]+表1_[[#This Row],[行政区划]]</f>
        <v>422023</v>
      </c>
    </row>
    <row r="172" spans="1:5" x14ac:dyDescent="0.4">
      <c r="A172" t="s">
        <v>17</v>
      </c>
      <c r="B172" t="s">
        <v>32</v>
      </c>
      <c r="C172">
        <v>1036.04</v>
      </c>
      <c r="D172">
        <f>VLOOKUP(表1_[[#This Row],[城市]],Sheet2!A:B,2,0)</f>
        <v>430000</v>
      </c>
      <c r="E172">
        <f>表1_[[#This Row],[年份]]+表1_[[#This Row],[行政区划]]</f>
        <v>432014</v>
      </c>
    </row>
    <row r="173" spans="1:5" x14ac:dyDescent="0.4">
      <c r="A173" t="s">
        <v>17</v>
      </c>
      <c r="B173" t="s">
        <v>33</v>
      </c>
      <c r="C173">
        <v>898.56</v>
      </c>
      <c r="D173">
        <f>VLOOKUP(表1_[[#This Row],[城市]],Sheet2!A:B,2,0)</f>
        <v>430000</v>
      </c>
      <c r="E173">
        <f>表1_[[#This Row],[年份]]+表1_[[#This Row],[行政区划]]</f>
        <v>432015</v>
      </c>
    </row>
    <row r="174" spans="1:5" x14ac:dyDescent="0.4">
      <c r="A174" t="s">
        <v>17</v>
      </c>
      <c r="B174" t="s">
        <v>34</v>
      </c>
      <c r="C174">
        <v>966.69</v>
      </c>
      <c r="D174">
        <f>VLOOKUP(表1_[[#This Row],[城市]],Sheet2!A:B,2,0)</f>
        <v>430000</v>
      </c>
      <c r="E174">
        <f>表1_[[#This Row],[年份]]+表1_[[#This Row],[行政区划]]</f>
        <v>432016</v>
      </c>
    </row>
    <row r="175" spans="1:5" x14ac:dyDescent="0.4">
      <c r="A175" t="s">
        <v>17</v>
      </c>
      <c r="B175" t="s">
        <v>35</v>
      </c>
      <c r="C175">
        <v>1162.17</v>
      </c>
      <c r="D175">
        <f>VLOOKUP(表1_[[#This Row],[城市]],Sheet2!A:B,2,0)</f>
        <v>430000</v>
      </c>
      <c r="E175">
        <f>表1_[[#This Row],[年份]]+表1_[[#This Row],[行政区划]]</f>
        <v>432017</v>
      </c>
    </row>
    <row r="176" spans="1:5" x14ac:dyDescent="0.4">
      <c r="A176" t="s">
        <v>17</v>
      </c>
      <c r="B176" t="s">
        <v>36</v>
      </c>
      <c r="C176">
        <v>2581.31</v>
      </c>
      <c r="D176">
        <f>VLOOKUP(表1_[[#This Row],[城市]],Sheet2!A:B,2,0)</f>
        <v>430000</v>
      </c>
      <c r="E176">
        <f>表1_[[#This Row],[年份]]+表1_[[#This Row],[行政区划]]</f>
        <v>432018</v>
      </c>
    </row>
    <row r="177" spans="1:5" x14ac:dyDescent="0.4">
      <c r="A177" t="s">
        <v>17</v>
      </c>
      <c r="B177" t="s">
        <v>37</v>
      </c>
      <c r="C177">
        <v>2308.2600000000002</v>
      </c>
      <c r="D177">
        <f>VLOOKUP(表1_[[#This Row],[城市]],Sheet2!A:B,2,0)</f>
        <v>430000</v>
      </c>
      <c r="E177">
        <f>表1_[[#This Row],[年份]]+表1_[[#This Row],[行政区划]]</f>
        <v>432019</v>
      </c>
    </row>
    <row r="178" spans="1:5" x14ac:dyDescent="0.4">
      <c r="A178" t="s">
        <v>17</v>
      </c>
      <c r="B178" t="s">
        <v>38</v>
      </c>
      <c r="C178">
        <v>2820.2</v>
      </c>
      <c r="D178">
        <f>VLOOKUP(表1_[[#This Row],[城市]],Sheet2!A:B,2,0)</f>
        <v>430000</v>
      </c>
      <c r="E178">
        <f>表1_[[#This Row],[年份]]+表1_[[#This Row],[行政区划]]</f>
        <v>432020</v>
      </c>
    </row>
    <row r="179" spans="1:5" x14ac:dyDescent="0.4">
      <c r="A179" t="s">
        <v>17</v>
      </c>
      <c r="B179" t="s">
        <v>39</v>
      </c>
      <c r="C179">
        <v>3484.93</v>
      </c>
      <c r="D179">
        <f>VLOOKUP(表1_[[#This Row],[城市]],Sheet2!A:B,2,0)</f>
        <v>430000</v>
      </c>
      <c r="E179">
        <f>表1_[[#This Row],[年份]]+表1_[[#This Row],[行政区划]]</f>
        <v>432021</v>
      </c>
    </row>
    <row r="180" spans="1:5" x14ac:dyDescent="0.4">
      <c r="A180" t="s">
        <v>17</v>
      </c>
      <c r="B180" t="s">
        <v>40</v>
      </c>
      <c r="C180">
        <v>3244.44</v>
      </c>
      <c r="D180">
        <f>VLOOKUP(表1_[[#This Row],[城市]],Sheet2!A:B,2,0)</f>
        <v>430000</v>
      </c>
      <c r="E180">
        <f>表1_[[#This Row],[年份]]+表1_[[#This Row],[行政区划]]</f>
        <v>432022</v>
      </c>
    </row>
    <row r="181" spans="1:5" x14ac:dyDescent="0.4">
      <c r="A181" t="s">
        <v>17</v>
      </c>
      <c r="B181" t="s">
        <v>41</v>
      </c>
      <c r="C181">
        <v>3866.51</v>
      </c>
      <c r="D181">
        <f>VLOOKUP(表1_[[#This Row],[城市]],Sheet2!A:B,2,0)</f>
        <v>430000</v>
      </c>
      <c r="E181">
        <f>表1_[[#This Row],[年份]]+表1_[[#This Row],[行政区划]]</f>
        <v>432023</v>
      </c>
    </row>
    <row r="182" spans="1:5" x14ac:dyDescent="0.4">
      <c r="A182" t="s">
        <v>18</v>
      </c>
      <c r="B182" t="s">
        <v>32</v>
      </c>
      <c r="C182">
        <v>8623.31</v>
      </c>
      <c r="D182">
        <f>VLOOKUP(表1_[[#This Row],[城市]],Sheet2!A:B,2,0)</f>
        <v>440000</v>
      </c>
      <c r="E182">
        <f>表1_[[#This Row],[年份]]+表1_[[#This Row],[行政区划]]</f>
        <v>442014</v>
      </c>
    </row>
    <row r="183" spans="1:5" x14ac:dyDescent="0.4">
      <c r="A183" t="s">
        <v>18</v>
      </c>
      <c r="B183" t="s">
        <v>33</v>
      </c>
      <c r="C183">
        <v>10107.870000000001</v>
      </c>
      <c r="D183">
        <f>VLOOKUP(表1_[[#This Row],[城市]],Sheet2!A:B,2,0)</f>
        <v>440000</v>
      </c>
      <c r="E183">
        <f>表1_[[#This Row],[年份]]+表1_[[#This Row],[行政区划]]</f>
        <v>442015</v>
      </c>
    </row>
    <row r="184" spans="1:5" x14ac:dyDescent="0.4">
      <c r="A184" t="s">
        <v>18</v>
      </c>
      <c r="B184" t="s">
        <v>34</v>
      </c>
      <c r="C184">
        <v>12854.75</v>
      </c>
      <c r="D184">
        <f>VLOOKUP(表1_[[#This Row],[城市]],Sheet2!A:B,2,0)</f>
        <v>440000</v>
      </c>
      <c r="E184">
        <f>表1_[[#This Row],[年份]]+表1_[[#This Row],[行政区划]]</f>
        <v>442016</v>
      </c>
    </row>
    <row r="185" spans="1:5" x14ac:dyDescent="0.4">
      <c r="A185" t="s">
        <v>18</v>
      </c>
      <c r="B185" t="s">
        <v>35</v>
      </c>
      <c r="C185">
        <v>13904.42</v>
      </c>
      <c r="D185">
        <f>VLOOKUP(表1_[[#This Row],[城市]],Sheet2!A:B,2,0)</f>
        <v>440000</v>
      </c>
      <c r="E185">
        <f>表1_[[#This Row],[年份]]+表1_[[#This Row],[行政区划]]</f>
        <v>442017</v>
      </c>
    </row>
    <row r="186" spans="1:5" x14ac:dyDescent="0.4">
      <c r="A186" t="s">
        <v>18</v>
      </c>
      <c r="B186" t="s">
        <v>36</v>
      </c>
      <c r="C186">
        <v>17104.59</v>
      </c>
      <c r="D186">
        <f>VLOOKUP(表1_[[#This Row],[城市]],Sheet2!A:B,2,0)</f>
        <v>440000</v>
      </c>
      <c r="E186">
        <f>表1_[[#This Row],[年份]]+表1_[[#This Row],[行政区划]]</f>
        <v>442018</v>
      </c>
    </row>
    <row r="187" spans="1:5" x14ac:dyDescent="0.4">
      <c r="A187" t="s">
        <v>18</v>
      </c>
      <c r="B187" t="s">
        <v>37</v>
      </c>
      <c r="C187">
        <v>21902.5</v>
      </c>
      <c r="D187">
        <f>VLOOKUP(表1_[[#This Row],[城市]],Sheet2!A:B,2,0)</f>
        <v>440000</v>
      </c>
      <c r="E187">
        <f>表1_[[#This Row],[年份]]+表1_[[#This Row],[行政区划]]</f>
        <v>442019</v>
      </c>
    </row>
    <row r="188" spans="1:5" x14ac:dyDescent="0.4">
      <c r="A188" t="s">
        <v>18</v>
      </c>
      <c r="B188" t="s">
        <v>38</v>
      </c>
      <c r="C188">
        <v>21879.3</v>
      </c>
      <c r="D188">
        <f>VLOOKUP(表1_[[#This Row],[城市]],Sheet2!A:B,2,0)</f>
        <v>440000</v>
      </c>
      <c r="E188">
        <f>表1_[[#This Row],[年份]]+表1_[[#This Row],[行政区划]]</f>
        <v>442020</v>
      </c>
    </row>
    <row r="189" spans="1:5" x14ac:dyDescent="0.4">
      <c r="A189" t="s">
        <v>18</v>
      </c>
      <c r="B189" t="s">
        <v>39</v>
      </c>
      <c r="C189">
        <v>20748.349999999999</v>
      </c>
      <c r="D189">
        <f>VLOOKUP(表1_[[#This Row],[城市]],Sheet2!A:B,2,0)</f>
        <v>440000</v>
      </c>
      <c r="E189">
        <f>表1_[[#This Row],[年份]]+表1_[[#This Row],[行政区划]]</f>
        <v>442021</v>
      </c>
    </row>
    <row r="190" spans="1:5" x14ac:dyDescent="0.4">
      <c r="A190" t="s">
        <v>18</v>
      </c>
      <c r="B190" t="s">
        <v>40</v>
      </c>
      <c r="C190">
        <v>23038.69</v>
      </c>
      <c r="D190">
        <f>VLOOKUP(表1_[[#This Row],[城市]],Sheet2!A:B,2,0)</f>
        <v>440000</v>
      </c>
      <c r="E190">
        <f>表1_[[#This Row],[年份]]+表1_[[#This Row],[行政区划]]</f>
        <v>442022</v>
      </c>
    </row>
    <row r="191" spans="1:5" x14ac:dyDescent="0.4">
      <c r="A191" t="s">
        <v>18</v>
      </c>
      <c r="B191" t="s">
        <v>41</v>
      </c>
      <c r="C191">
        <v>29140.73</v>
      </c>
      <c r="D191">
        <f>VLOOKUP(表1_[[#This Row],[城市]],Sheet2!A:B,2,0)</f>
        <v>440000</v>
      </c>
      <c r="E191">
        <f>表1_[[#This Row],[年份]]+表1_[[#This Row],[行政区划]]</f>
        <v>442023</v>
      </c>
    </row>
    <row r="192" spans="1:5" x14ac:dyDescent="0.4">
      <c r="A192" t="s">
        <v>19</v>
      </c>
      <c r="B192" t="s">
        <v>32</v>
      </c>
      <c r="C192">
        <v>393.29</v>
      </c>
      <c r="D192">
        <f>VLOOKUP(表1_[[#This Row],[城市]],Sheet2!A:B,2,0)</f>
        <v>450000</v>
      </c>
      <c r="E192">
        <f>表1_[[#This Row],[年份]]+表1_[[#This Row],[行政区划]]</f>
        <v>452014</v>
      </c>
    </row>
    <row r="193" spans="1:5" x14ac:dyDescent="0.4">
      <c r="A193" t="s">
        <v>19</v>
      </c>
      <c r="B193" t="s">
        <v>33</v>
      </c>
      <c r="C193">
        <v>642.87</v>
      </c>
      <c r="D193">
        <f>VLOOKUP(表1_[[#This Row],[城市]],Sheet2!A:B,2,0)</f>
        <v>450000</v>
      </c>
      <c r="E193">
        <f>表1_[[#This Row],[年份]]+表1_[[#This Row],[行政区划]]</f>
        <v>452015</v>
      </c>
    </row>
    <row r="194" spans="1:5" x14ac:dyDescent="0.4">
      <c r="A194" t="s">
        <v>19</v>
      </c>
      <c r="B194" t="s">
        <v>34</v>
      </c>
      <c r="C194">
        <v>637.79999999999995</v>
      </c>
      <c r="D194">
        <f>VLOOKUP(表1_[[#This Row],[城市]],Sheet2!A:B,2,0)</f>
        <v>450000</v>
      </c>
      <c r="E194">
        <f>表1_[[#This Row],[年份]]+表1_[[#This Row],[行政区划]]</f>
        <v>452016</v>
      </c>
    </row>
    <row r="195" spans="1:5" x14ac:dyDescent="0.4">
      <c r="A195" t="s">
        <v>19</v>
      </c>
      <c r="B195" t="s">
        <v>35</v>
      </c>
      <c r="C195">
        <v>655.7</v>
      </c>
      <c r="D195">
        <f>VLOOKUP(表1_[[#This Row],[城市]],Sheet2!A:B,2,0)</f>
        <v>450000</v>
      </c>
      <c r="E195">
        <f>表1_[[#This Row],[年份]]+表1_[[#This Row],[行政区划]]</f>
        <v>452017</v>
      </c>
    </row>
    <row r="196" spans="1:5" x14ac:dyDescent="0.4">
      <c r="A196" t="s">
        <v>19</v>
      </c>
      <c r="B196" t="s">
        <v>36</v>
      </c>
      <c r="C196">
        <v>815.77</v>
      </c>
      <c r="D196">
        <f>VLOOKUP(表1_[[#This Row],[城市]],Sheet2!A:B,2,0)</f>
        <v>450000</v>
      </c>
      <c r="E196">
        <f>表1_[[#This Row],[年份]]+表1_[[#This Row],[行政区划]]</f>
        <v>452018</v>
      </c>
    </row>
    <row r="197" spans="1:5" x14ac:dyDescent="0.4">
      <c r="A197" t="s">
        <v>19</v>
      </c>
      <c r="B197" t="s">
        <v>37</v>
      </c>
      <c r="C197">
        <v>1355.27</v>
      </c>
      <c r="D197">
        <f>VLOOKUP(表1_[[#This Row],[城市]],Sheet2!A:B,2,0)</f>
        <v>450000</v>
      </c>
      <c r="E197">
        <f>表1_[[#This Row],[年份]]+表1_[[#This Row],[行政区划]]</f>
        <v>452019</v>
      </c>
    </row>
    <row r="198" spans="1:5" x14ac:dyDescent="0.4">
      <c r="A198" t="s">
        <v>19</v>
      </c>
      <c r="B198" t="s">
        <v>38</v>
      </c>
      <c r="C198">
        <v>1223</v>
      </c>
      <c r="D198">
        <f>VLOOKUP(表1_[[#This Row],[城市]],Sheet2!A:B,2,0)</f>
        <v>450000</v>
      </c>
      <c r="E198">
        <f>表1_[[#This Row],[年份]]+表1_[[#This Row],[行政区划]]</f>
        <v>452020</v>
      </c>
    </row>
    <row r="199" spans="1:5" x14ac:dyDescent="0.4">
      <c r="A199" t="s">
        <v>19</v>
      </c>
      <c r="B199" t="s">
        <v>39</v>
      </c>
      <c r="C199">
        <v>1329.95</v>
      </c>
      <c r="D199">
        <f>VLOOKUP(表1_[[#This Row],[城市]],Sheet2!A:B,2,0)</f>
        <v>450000</v>
      </c>
      <c r="E199">
        <f>表1_[[#This Row],[年份]]+表1_[[#This Row],[行政区划]]</f>
        <v>452021</v>
      </c>
    </row>
    <row r="200" spans="1:5" x14ac:dyDescent="0.4">
      <c r="A200" t="s">
        <v>19</v>
      </c>
      <c r="B200" t="s">
        <v>40</v>
      </c>
      <c r="C200">
        <v>1634.55</v>
      </c>
      <c r="D200">
        <f>VLOOKUP(表1_[[#This Row],[城市]],Sheet2!A:B,2,0)</f>
        <v>450000</v>
      </c>
      <c r="E200">
        <f>表1_[[#This Row],[年份]]+表1_[[#This Row],[行政区划]]</f>
        <v>452022</v>
      </c>
    </row>
    <row r="201" spans="1:5" x14ac:dyDescent="0.4">
      <c r="A201" t="s">
        <v>19</v>
      </c>
      <c r="B201" t="s">
        <v>41</v>
      </c>
      <c r="C201">
        <v>1976.24</v>
      </c>
      <c r="D201">
        <f>VLOOKUP(表1_[[#This Row],[城市]],Sheet2!A:B,2,0)</f>
        <v>450000</v>
      </c>
      <c r="E201">
        <f>表1_[[#This Row],[年份]]+表1_[[#This Row],[行政区划]]</f>
        <v>452023</v>
      </c>
    </row>
    <row r="202" spans="1:5" x14ac:dyDescent="0.4">
      <c r="A202" t="s">
        <v>20</v>
      </c>
      <c r="B202" t="s">
        <v>32</v>
      </c>
      <c r="C202">
        <v>198.36</v>
      </c>
      <c r="D202">
        <f>VLOOKUP(表1_[[#This Row],[城市]],Sheet2!A:B,2,0)</f>
        <v>460000</v>
      </c>
      <c r="E202">
        <f>表1_[[#This Row],[年份]]+表1_[[#This Row],[行政区划]]</f>
        <v>462014</v>
      </c>
    </row>
    <row r="203" spans="1:5" x14ac:dyDescent="0.4">
      <c r="A203" t="s">
        <v>20</v>
      </c>
      <c r="B203" t="s">
        <v>33</v>
      </c>
      <c r="C203">
        <v>265.70999999999998</v>
      </c>
      <c r="D203">
        <f>VLOOKUP(表1_[[#This Row],[城市]],Sheet2!A:B,2,0)</f>
        <v>460000</v>
      </c>
      <c r="E203">
        <f>表1_[[#This Row],[年份]]+表1_[[#This Row],[行政区划]]</f>
        <v>462015</v>
      </c>
    </row>
    <row r="204" spans="1:5" x14ac:dyDescent="0.4">
      <c r="A204" t="s">
        <v>20</v>
      </c>
      <c r="B204" t="s">
        <v>34</v>
      </c>
      <c r="C204">
        <v>263.32</v>
      </c>
      <c r="D204">
        <f>VLOOKUP(表1_[[#This Row],[城市]],Sheet2!A:B,2,0)</f>
        <v>460000</v>
      </c>
      <c r="E204">
        <f>表1_[[#This Row],[年份]]+表1_[[#This Row],[行政区划]]</f>
        <v>462016</v>
      </c>
    </row>
    <row r="205" spans="1:5" x14ac:dyDescent="0.4">
      <c r="A205" t="s">
        <v>20</v>
      </c>
      <c r="B205" t="s">
        <v>35</v>
      </c>
      <c r="C205">
        <v>260</v>
      </c>
      <c r="D205">
        <f>VLOOKUP(表1_[[#This Row],[城市]],Sheet2!A:B,2,0)</f>
        <v>460000</v>
      </c>
      <c r="E205">
        <f>表1_[[#This Row],[年份]]+表1_[[#This Row],[行政区划]]</f>
        <v>462017</v>
      </c>
    </row>
    <row r="206" spans="1:5" x14ac:dyDescent="0.4">
      <c r="A206" t="s">
        <v>20</v>
      </c>
      <c r="B206" t="s">
        <v>36</v>
      </c>
      <c r="C206">
        <v>284.52999999999997</v>
      </c>
      <c r="D206">
        <f>VLOOKUP(表1_[[#This Row],[城市]],Sheet2!A:B,2,0)</f>
        <v>460000</v>
      </c>
      <c r="E206">
        <f>表1_[[#This Row],[年份]]+表1_[[#This Row],[行政区划]]</f>
        <v>462018</v>
      </c>
    </row>
    <row r="207" spans="1:5" x14ac:dyDescent="0.4">
      <c r="A207" t="s">
        <v>20</v>
      </c>
      <c r="B207" t="s">
        <v>37</v>
      </c>
      <c r="C207">
        <v>297.07</v>
      </c>
      <c r="D207">
        <f>VLOOKUP(表1_[[#This Row],[城市]],Sheet2!A:B,2,0)</f>
        <v>460000</v>
      </c>
      <c r="E207">
        <f>表1_[[#This Row],[年份]]+表1_[[#This Row],[行政区划]]</f>
        <v>462019</v>
      </c>
    </row>
    <row r="208" spans="1:5" x14ac:dyDescent="0.4">
      <c r="A208" t="s">
        <v>20</v>
      </c>
      <c r="B208" t="s">
        <v>38</v>
      </c>
      <c r="C208">
        <v>321.60000000000002</v>
      </c>
      <c r="D208">
        <f>VLOOKUP(表1_[[#This Row],[城市]],Sheet2!A:B,2,0)</f>
        <v>460000</v>
      </c>
      <c r="E208">
        <f>表1_[[#This Row],[年份]]+表1_[[#This Row],[行政区划]]</f>
        <v>462020</v>
      </c>
    </row>
    <row r="209" spans="1:5" x14ac:dyDescent="0.4">
      <c r="A209" t="s">
        <v>20</v>
      </c>
      <c r="B209" t="s">
        <v>39</v>
      </c>
      <c r="C209">
        <v>360.43</v>
      </c>
      <c r="D209">
        <f>VLOOKUP(表1_[[#This Row],[城市]],Sheet2!A:B,2,0)</f>
        <v>460000</v>
      </c>
      <c r="E209">
        <f>表1_[[#This Row],[年份]]+表1_[[#This Row],[行政区划]]</f>
        <v>462021</v>
      </c>
    </row>
    <row r="210" spans="1:5" x14ac:dyDescent="0.4">
      <c r="A210" t="s">
        <v>20</v>
      </c>
      <c r="B210" t="s">
        <v>40</v>
      </c>
      <c r="C210">
        <v>498.78</v>
      </c>
      <c r="D210">
        <f>VLOOKUP(表1_[[#This Row],[城市]],Sheet2!A:B,2,0)</f>
        <v>460000</v>
      </c>
      <c r="E210">
        <f>表1_[[#This Row],[年份]]+表1_[[#This Row],[行政区划]]</f>
        <v>462022</v>
      </c>
    </row>
    <row r="211" spans="1:5" x14ac:dyDescent="0.4">
      <c r="A211" t="s">
        <v>20</v>
      </c>
      <c r="B211" t="s">
        <v>41</v>
      </c>
      <c r="C211">
        <v>636.04999999999995</v>
      </c>
      <c r="D211">
        <f>VLOOKUP(表1_[[#This Row],[城市]],Sheet2!A:B,2,0)</f>
        <v>460000</v>
      </c>
      <c r="E211">
        <f>表1_[[#This Row],[年份]]+表1_[[#This Row],[行政区划]]</f>
        <v>462023</v>
      </c>
    </row>
    <row r="212" spans="1:5" x14ac:dyDescent="0.4">
      <c r="A212" t="s">
        <v>21</v>
      </c>
      <c r="B212" t="s">
        <v>32</v>
      </c>
      <c r="C212">
        <v>484.41</v>
      </c>
      <c r="D212">
        <f>VLOOKUP(表1_[[#This Row],[城市]],Sheet2!A:B,2,0)</f>
        <v>500000</v>
      </c>
      <c r="E212">
        <f>表1_[[#This Row],[年份]]+表1_[[#This Row],[行政区划]]</f>
        <v>502014</v>
      </c>
    </row>
    <row r="213" spans="1:5" x14ac:dyDescent="0.4">
      <c r="A213" t="s">
        <v>21</v>
      </c>
      <c r="B213" t="s">
        <v>33</v>
      </c>
      <c r="C213">
        <v>754.17</v>
      </c>
      <c r="D213">
        <f>VLOOKUP(表1_[[#This Row],[城市]],Sheet2!A:B,2,0)</f>
        <v>500000</v>
      </c>
      <c r="E213">
        <f>表1_[[#This Row],[年份]]+表1_[[#This Row],[行政区划]]</f>
        <v>502015</v>
      </c>
    </row>
    <row r="214" spans="1:5" x14ac:dyDescent="0.4">
      <c r="A214" t="s">
        <v>21</v>
      </c>
      <c r="B214" t="s">
        <v>34</v>
      </c>
      <c r="C214">
        <v>1228.9100000000001</v>
      </c>
      <c r="D214">
        <f>VLOOKUP(表1_[[#This Row],[城市]],Sheet2!A:B,2,0)</f>
        <v>500000</v>
      </c>
      <c r="E214">
        <f>表1_[[#This Row],[年份]]+表1_[[#This Row],[行政区划]]</f>
        <v>502016</v>
      </c>
    </row>
    <row r="215" spans="1:5" x14ac:dyDescent="0.4">
      <c r="A215" t="s">
        <v>21</v>
      </c>
      <c r="B215" t="s">
        <v>35</v>
      </c>
      <c r="C215">
        <v>1201.56</v>
      </c>
      <c r="D215">
        <f>VLOOKUP(表1_[[#This Row],[城市]],Sheet2!A:B,2,0)</f>
        <v>500000</v>
      </c>
      <c r="E215">
        <f>表1_[[#This Row],[年份]]+表1_[[#This Row],[行政区划]]</f>
        <v>502017</v>
      </c>
    </row>
    <row r="216" spans="1:5" x14ac:dyDescent="0.4">
      <c r="A216" t="s">
        <v>21</v>
      </c>
      <c r="B216" t="s">
        <v>36</v>
      </c>
      <c r="C216">
        <v>1624.72</v>
      </c>
      <c r="D216">
        <f>VLOOKUP(表1_[[#This Row],[城市]],Sheet2!A:B,2,0)</f>
        <v>500000</v>
      </c>
      <c r="E216">
        <f>表1_[[#This Row],[年份]]+表1_[[#This Row],[行政区划]]</f>
        <v>502018</v>
      </c>
    </row>
    <row r="217" spans="1:5" x14ac:dyDescent="0.4">
      <c r="A217" t="s">
        <v>21</v>
      </c>
      <c r="B217" t="s">
        <v>37</v>
      </c>
      <c r="C217">
        <v>1719.79</v>
      </c>
      <c r="D217">
        <f>VLOOKUP(表1_[[#This Row],[城市]],Sheet2!A:B,2,0)</f>
        <v>500000</v>
      </c>
      <c r="E217">
        <f>表1_[[#This Row],[年份]]+表1_[[#This Row],[行政区划]]</f>
        <v>502019</v>
      </c>
    </row>
    <row r="218" spans="1:5" x14ac:dyDescent="0.4">
      <c r="A218" t="s">
        <v>21</v>
      </c>
      <c r="B218" t="s">
        <v>38</v>
      </c>
      <c r="C218">
        <v>2148.4</v>
      </c>
      <c r="D218">
        <f>VLOOKUP(表1_[[#This Row],[城市]],Sheet2!A:B,2,0)</f>
        <v>500000</v>
      </c>
      <c r="E218">
        <f>表1_[[#This Row],[年份]]+表1_[[#This Row],[行政区划]]</f>
        <v>502020</v>
      </c>
    </row>
    <row r="219" spans="1:5" x14ac:dyDescent="0.4">
      <c r="A219" t="s">
        <v>21</v>
      </c>
      <c r="B219" t="s">
        <v>39</v>
      </c>
      <c r="C219">
        <v>2851.25</v>
      </c>
      <c r="D219">
        <f>VLOOKUP(表1_[[#This Row],[城市]],Sheet2!A:B,2,0)</f>
        <v>500000</v>
      </c>
      <c r="E219">
        <f>表1_[[#This Row],[年份]]+表1_[[#This Row],[行政区划]]</f>
        <v>502021</v>
      </c>
    </row>
    <row r="220" spans="1:5" x14ac:dyDescent="0.4">
      <c r="A220" t="s">
        <v>21</v>
      </c>
      <c r="B220" t="s">
        <v>40</v>
      </c>
      <c r="C220">
        <v>4338.47</v>
      </c>
      <c r="D220">
        <f>VLOOKUP(表1_[[#This Row],[城市]],Sheet2!A:B,2,0)</f>
        <v>500000</v>
      </c>
      <c r="E220">
        <f>表1_[[#This Row],[年份]]+表1_[[#This Row],[行政区划]]</f>
        <v>502022</v>
      </c>
    </row>
    <row r="221" spans="1:5" x14ac:dyDescent="0.4">
      <c r="A221" t="s">
        <v>21</v>
      </c>
      <c r="B221" t="s">
        <v>41</v>
      </c>
      <c r="C221">
        <v>4917.8</v>
      </c>
      <c r="D221">
        <f>VLOOKUP(表1_[[#This Row],[城市]],Sheet2!A:B,2,0)</f>
        <v>500000</v>
      </c>
      <c r="E221">
        <f>表1_[[#This Row],[年份]]+表1_[[#This Row],[行政区划]]</f>
        <v>502023</v>
      </c>
    </row>
    <row r="222" spans="1:5" x14ac:dyDescent="0.4">
      <c r="A222" t="s">
        <v>22</v>
      </c>
      <c r="B222" t="s">
        <v>32</v>
      </c>
      <c r="C222">
        <v>1120.6300000000001</v>
      </c>
      <c r="D222">
        <f>VLOOKUP(表1_[[#This Row],[城市]],Sheet2!A:B,2,0)</f>
        <v>510000</v>
      </c>
      <c r="E222">
        <f>表1_[[#This Row],[年份]]+表1_[[#This Row],[行政区划]]</f>
        <v>512014</v>
      </c>
    </row>
    <row r="223" spans="1:5" x14ac:dyDescent="0.4">
      <c r="A223" t="s">
        <v>22</v>
      </c>
      <c r="B223" t="s">
        <v>33</v>
      </c>
      <c r="C223">
        <v>961.96</v>
      </c>
      <c r="D223">
        <f>VLOOKUP(表1_[[#This Row],[城市]],Sheet2!A:B,2,0)</f>
        <v>510000</v>
      </c>
      <c r="E223">
        <f>表1_[[#This Row],[年份]]+表1_[[#This Row],[行政区划]]</f>
        <v>512015</v>
      </c>
    </row>
    <row r="224" spans="1:5" x14ac:dyDescent="0.4">
      <c r="A224" t="s">
        <v>22</v>
      </c>
      <c r="B224" t="s">
        <v>34</v>
      </c>
      <c r="C224">
        <v>1228.81</v>
      </c>
      <c r="D224">
        <f>VLOOKUP(表1_[[#This Row],[城市]],Sheet2!A:B,2,0)</f>
        <v>510000</v>
      </c>
      <c r="E224">
        <f>表1_[[#This Row],[年份]]+表1_[[#This Row],[行政区划]]</f>
        <v>512016</v>
      </c>
    </row>
    <row r="225" spans="1:5" x14ac:dyDescent="0.4">
      <c r="A225" t="s">
        <v>22</v>
      </c>
      <c r="B225" t="s">
        <v>35</v>
      </c>
      <c r="C225">
        <v>2023.92</v>
      </c>
      <c r="D225">
        <f>VLOOKUP(表1_[[#This Row],[城市]],Sheet2!A:B,2,0)</f>
        <v>510000</v>
      </c>
      <c r="E225">
        <f>表1_[[#This Row],[年份]]+表1_[[#This Row],[行政区划]]</f>
        <v>512017</v>
      </c>
    </row>
    <row r="226" spans="1:5" x14ac:dyDescent="0.4">
      <c r="A226" t="s">
        <v>22</v>
      </c>
      <c r="B226" t="s">
        <v>36</v>
      </c>
      <c r="C226">
        <v>2463.94</v>
      </c>
      <c r="D226">
        <f>VLOOKUP(表1_[[#This Row],[城市]],Sheet2!A:B,2,0)</f>
        <v>510000</v>
      </c>
      <c r="E226">
        <f>表1_[[#This Row],[年份]]+表1_[[#This Row],[行政区划]]</f>
        <v>512018</v>
      </c>
    </row>
    <row r="227" spans="1:5" x14ac:dyDescent="0.4">
      <c r="A227" t="s">
        <v>22</v>
      </c>
      <c r="B227" t="s">
        <v>37</v>
      </c>
      <c r="C227">
        <v>3688.85</v>
      </c>
      <c r="D227">
        <f>VLOOKUP(表1_[[#This Row],[城市]],Sheet2!A:B,2,0)</f>
        <v>510000</v>
      </c>
      <c r="E227">
        <f>表1_[[#This Row],[年份]]+表1_[[#This Row],[行政区划]]</f>
        <v>512019</v>
      </c>
    </row>
    <row r="228" spans="1:5" x14ac:dyDescent="0.4">
      <c r="A228" t="s">
        <v>22</v>
      </c>
      <c r="B228" t="s">
        <v>38</v>
      </c>
      <c r="C228">
        <v>4405</v>
      </c>
      <c r="D228">
        <f>VLOOKUP(表1_[[#This Row],[城市]],Sheet2!A:B,2,0)</f>
        <v>510000</v>
      </c>
      <c r="E228">
        <f>表1_[[#This Row],[年份]]+表1_[[#This Row],[行政区划]]</f>
        <v>512020</v>
      </c>
    </row>
    <row r="229" spans="1:5" x14ac:dyDescent="0.4">
      <c r="A229" t="s">
        <v>22</v>
      </c>
      <c r="B229" t="s">
        <v>39</v>
      </c>
      <c r="C229">
        <v>5474.69</v>
      </c>
      <c r="D229">
        <f>VLOOKUP(表1_[[#This Row],[城市]],Sheet2!A:B,2,0)</f>
        <v>510000</v>
      </c>
      <c r="E229">
        <f>表1_[[#This Row],[年份]]+表1_[[#This Row],[行政区划]]</f>
        <v>512021</v>
      </c>
    </row>
    <row r="230" spans="1:5" x14ac:dyDescent="0.4">
      <c r="A230" t="s">
        <v>22</v>
      </c>
      <c r="B230" t="s">
        <v>40</v>
      </c>
      <c r="C230">
        <v>5430.73</v>
      </c>
      <c r="D230">
        <f>VLOOKUP(表1_[[#This Row],[城市]],Sheet2!A:B,2,0)</f>
        <v>510000</v>
      </c>
      <c r="E230">
        <f>表1_[[#This Row],[年份]]+表1_[[#This Row],[行政区划]]</f>
        <v>512022</v>
      </c>
    </row>
    <row r="231" spans="1:5" x14ac:dyDescent="0.4">
      <c r="A231" t="s">
        <v>22</v>
      </c>
      <c r="B231" t="s">
        <v>41</v>
      </c>
      <c r="C231">
        <v>5846.08</v>
      </c>
      <c r="D231">
        <f>VLOOKUP(表1_[[#This Row],[城市]],Sheet2!A:B,2,0)</f>
        <v>510000</v>
      </c>
      <c r="E231">
        <f>表1_[[#This Row],[年份]]+表1_[[#This Row],[行政区划]]</f>
        <v>512023</v>
      </c>
    </row>
    <row r="232" spans="1:5" x14ac:dyDescent="0.4">
      <c r="A232" t="s">
        <v>23</v>
      </c>
      <c r="B232" t="s">
        <v>32</v>
      </c>
      <c r="C232">
        <v>436.8</v>
      </c>
      <c r="D232">
        <f>VLOOKUP(表1_[[#This Row],[城市]],Sheet2!A:B,2,0)</f>
        <v>520000</v>
      </c>
      <c r="E232">
        <f>表1_[[#This Row],[年份]]+表1_[[#This Row],[行政区划]]</f>
        <v>522014</v>
      </c>
    </row>
    <row r="233" spans="1:5" x14ac:dyDescent="0.4">
      <c r="A233" t="s">
        <v>23</v>
      </c>
      <c r="B233" t="s">
        <v>33</v>
      </c>
      <c r="C233">
        <v>485.37</v>
      </c>
      <c r="D233">
        <f>VLOOKUP(表1_[[#This Row],[城市]],Sheet2!A:B,2,0)</f>
        <v>520000</v>
      </c>
      <c r="E233">
        <f>表1_[[#This Row],[年份]]+表1_[[#This Row],[行政区划]]</f>
        <v>522015</v>
      </c>
    </row>
    <row r="234" spans="1:5" x14ac:dyDescent="0.4">
      <c r="A234" t="s">
        <v>23</v>
      </c>
      <c r="B234" t="s">
        <v>34</v>
      </c>
      <c r="C234">
        <v>845.01</v>
      </c>
      <c r="D234">
        <f>VLOOKUP(表1_[[#This Row],[城市]],Sheet2!A:B,2,0)</f>
        <v>520000</v>
      </c>
      <c r="E234">
        <f>表1_[[#This Row],[年份]]+表1_[[#This Row],[行政区划]]</f>
        <v>522016</v>
      </c>
    </row>
    <row r="235" spans="1:5" x14ac:dyDescent="0.4">
      <c r="A235" t="s">
        <v>23</v>
      </c>
      <c r="B235" t="s">
        <v>35</v>
      </c>
      <c r="C235">
        <v>516.17999999999995</v>
      </c>
      <c r="D235">
        <f>VLOOKUP(表1_[[#This Row],[城市]],Sheet2!A:B,2,0)</f>
        <v>520000</v>
      </c>
      <c r="E235">
        <f>表1_[[#This Row],[年份]]+表1_[[#This Row],[行政区划]]</f>
        <v>522017</v>
      </c>
    </row>
    <row r="236" spans="1:5" x14ac:dyDescent="0.4">
      <c r="A236" t="s">
        <v>23</v>
      </c>
      <c r="B236" t="s">
        <v>36</v>
      </c>
      <c r="C236">
        <v>616.29999999999995</v>
      </c>
      <c r="D236">
        <f>VLOOKUP(表1_[[#This Row],[城市]],Sheet2!A:B,2,0)</f>
        <v>520000</v>
      </c>
      <c r="E236">
        <f>表1_[[#This Row],[年份]]+表1_[[#This Row],[行政区划]]</f>
        <v>522018</v>
      </c>
    </row>
    <row r="237" spans="1:5" x14ac:dyDescent="0.4">
      <c r="A237" t="s">
        <v>23</v>
      </c>
      <c r="B237" t="s">
        <v>37</v>
      </c>
      <c r="C237">
        <v>612.19000000000005</v>
      </c>
      <c r="D237">
        <f>VLOOKUP(表1_[[#This Row],[城市]],Sheet2!A:B,2,0)</f>
        <v>520000</v>
      </c>
      <c r="E237">
        <f>表1_[[#This Row],[年份]]+表1_[[#This Row],[行政区划]]</f>
        <v>522019</v>
      </c>
    </row>
    <row r="238" spans="1:5" x14ac:dyDescent="0.4">
      <c r="A238" t="s">
        <v>23</v>
      </c>
      <c r="B238" t="s">
        <v>38</v>
      </c>
      <c r="C238">
        <v>772.3</v>
      </c>
      <c r="D238">
        <f>VLOOKUP(表1_[[#This Row],[城市]],Sheet2!A:B,2,0)</f>
        <v>520000</v>
      </c>
      <c r="E238">
        <f>表1_[[#This Row],[年份]]+表1_[[#This Row],[行政区划]]</f>
        <v>522020</v>
      </c>
    </row>
    <row r="239" spans="1:5" x14ac:dyDescent="0.4">
      <c r="A239" t="s">
        <v>23</v>
      </c>
      <c r="B239" t="s">
        <v>39</v>
      </c>
      <c r="C239">
        <v>893.77</v>
      </c>
      <c r="D239">
        <f>VLOOKUP(表1_[[#This Row],[城市]],Sheet2!A:B,2,0)</f>
        <v>520000</v>
      </c>
      <c r="E239">
        <f>表1_[[#This Row],[年份]]+表1_[[#This Row],[行政区划]]</f>
        <v>522021</v>
      </c>
    </row>
    <row r="240" spans="1:5" x14ac:dyDescent="0.4">
      <c r="A240" t="s">
        <v>23</v>
      </c>
      <c r="B240" t="s">
        <v>40</v>
      </c>
      <c r="C240">
        <v>994.53</v>
      </c>
      <c r="D240">
        <f>VLOOKUP(表1_[[#This Row],[城市]],Sheet2!A:B,2,0)</f>
        <v>520000</v>
      </c>
      <c r="E240">
        <f>表1_[[#This Row],[年份]]+表1_[[#This Row],[行政区划]]</f>
        <v>522022</v>
      </c>
    </row>
    <row r="241" spans="1:5" x14ac:dyDescent="0.4">
      <c r="A241" t="s">
        <v>23</v>
      </c>
      <c r="B241" t="s">
        <v>41</v>
      </c>
      <c r="C241">
        <v>1321.54</v>
      </c>
      <c r="D241">
        <f>VLOOKUP(表1_[[#This Row],[城市]],Sheet2!A:B,2,0)</f>
        <v>520000</v>
      </c>
      <c r="E241">
        <f>表1_[[#This Row],[年份]]+表1_[[#This Row],[行政区划]]</f>
        <v>522023</v>
      </c>
    </row>
    <row r="242" spans="1:5" x14ac:dyDescent="0.4">
      <c r="A242" t="s">
        <v>24</v>
      </c>
      <c r="B242" t="s">
        <v>32</v>
      </c>
      <c r="C242">
        <v>402.19</v>
      </c>
      <c r="D242">
        <f>VLOOKUP(表1_[[#This Row],[城市]],Sheet2!A:B,2,0)</f>
        <v>530000</v>
      </c>
      <c r="E242">
        <f>表1_[[#This Row],[年份]]+表1_[[#This Row],[行政区划]]</f>
        <v>532014</v>
      </c>
    </row>
    <row r="243" spans="1:5" x14ac:dyDescent="0.4">
      <c r="A243" t="s">
        <v>24</v>
      </c>
      <c r="B243" t="s">
        <v>33</v>
      </c>
      <c r="C243">
        <v>431.36</v>
      </c>
      <c r="D243">
        <f>VLOOKUP(表1_[[#This Row],[城市]],Sheet2!A:B,2,0)</f>
        <v>530000</v>
      </c>
      <c r="E243">
        <f>表1_[[#This Row],[年份]]+表1_[[#This Row],[行政区划]]</f>
        <v>532015</v>
      </c>
    </row>
    <row r="244" spans="1:5" x14ac:dyDescent="0.4">
      <c r="A244" t="s">
        <v>24</v>
      </c>
      <c r="B244" t="s">
        <v>34</v>
      </c>
      <c r="C244">
        <v>617.04999999999995</v>
      </c>
      <c r="D244">
        <f>VLOOKUP(表1_[[#This Row],[城市]],Sheet2!A:B,2,0)</f>
        <v>530000</v>
      </c>
      <c r="E244">
        <f>表1_[[#This Row],[年份]]+表1_[[#This Row],[行政区划]]</f>
        <v>532016</v>
      </c>
    </row>
    <row r="245" spans="1:5" x14ac:dyDescent="0.4">
      <c r="A245" t="s">
        <v>24</v>
      </c>
      <c r="B245" t="s">
        <v>35</v>
      </c>
      <c r="C245">
        <v>821.17</v>
      </c>
      <c r="D245">
        <f>VLOOKUP(表1_[[#This Row],[城市]],Sheet2!A:B,2,0)</f>
        <v>530000</v>
      </c>
      <c r="E245">
        <f>表1_[[#This Row],[年份]]+表1_[[#This Row],[行政区划]]</f>
        <v>532017</v>
      </c>
    </row>
    <row r="246" spans="1:5" x14ac:dyDescent="0.4">
      <c r="A246" t="s">
        <v>24</v>
      </c>
      <c r="B246" t="s">
        <v>36</v>
      </c>
      <c r="C246">
        <v>867.31</v>
      </c>
      <c r="D246">
        <f>VLOOKUP(表1_[[#This Row],[城市]],Sheet2!A:B,2,0)</f>
        <v>530000</v>
      </c>
      <c r="E246">
        <f>表1_[[#This Row],[年份]]+表1_[[#This Row],[行政区划]]</f>
        <v>532018</v>
      </c>
    </row>
    <row r="247" spans="1:5" x14ac:dyDescent="0.4">
      <c r="A247" t="s">
        <v>24</v>
      </c>
      <c r="B247" t="s">
        <v>37</v>
      </c>
      <c r="C247">
        <v>936.2</v>
      </c>
      <c r="D247">
        <f>VLOOKUP(表1_[[#This Row],[城市]],Sheet2!A:B,2,0)</f>
        <v>530000</v>
      </c>
      <c r="E247">
        <f>表1_[[#This Row],[年份]]+表1_[[#This Row],[行政区划]]</f>
        <v>532019</v>
      </c>
    </row>
    <row r="248" spans="1:5" x14ac:dyDescent="0.4">
      <c r="A248" t="s">
        <v>24</v>
      </c>
      <c r="B248" t="s">
        <v>38</v>
      </c>
      <c r="C248">
        <v>1358.1</v>
      </c>
      <c r="D248">
        <f>VLOOKUP(表1_[[#This Row],[城市]],Sheet2!A:B,2,0)</f>
        <v>530000</v>
      </c>
      <c r="E248">
        <f>表1_[[#This Row],[年份]]+表1_[[#This Row],[行政区划]]</f>
        <v>532020</v>
      </c>
    </row>
    <row r="249" spans="1:5" x14ac:dyDescent="0.4">
      <c r="A249" t="s">
        <v>24</v>
      </c>
      <c r="B249" t="s">
        <v>39</v>
      </c>
      <c r="C249">
        <v>1459.41</v>
      </c>
      <c r="D249">
        <f>VLOOKUP(表1_[[#This Row],[城市]],Sheet2!A:B,2,0)</f>
        <v>530000</v>
      </c>
      <c r="E249">
        <f>表1_[[#This Row],[年份]]+表1_[[#This Row],[行政区划]]</f>
        <v>532021</v>
      </c>
    </row>
    <row r="250" spans="1:5" x14ac:dyDescent="0.4">
      <c r="A250" t="s">
        <v>24</v>
      </c>
      <c r="B250" t="s">
        <v>40</v>
      </c>
      <c r="C250">
        <v>912.33</v>
      </c>
      <c r="D250">
        <f>VLOOKUP(表1_[[#This Row],[城市]],Sheet2!A:B,2,0)</f>
        <v>530000</v>
      </c>
      <c r="E250">
        <f>表1_[[#This Row],[年份]]+表1_[[#This Row],[行政区划]]</f>
        <v>532022</v>
      </c>
    </row>
    <row r="251" spans="1:5" x14ac:dyDescent="0.4">
      <c r="A251" t="s">
        <v>24</v>
      </c>
      <c r="B251" t="s">
        <v>41</v>
      </c>
      <c r="C251">
        <v>1063.82</v>
      </c>
      <c r="D251">
        <f>VLOOKUP(表1_[[#This Row],[城市]],Sheet2!A:B,2,0)</f>
        <v>530000</v>
      </c>
      <c r="E251">
        <f>表1_[[#This Row],[年份]]+表1_[[#This Row],[行政区划]]</f>
        <v>532023</v>
      </c>
    </row>
    <row r="252" spans="1:5" x14ac:dyDescent="0.4">
      <c r="A252" t="s">
        <v>25</v>
      </c>
      <c r="B252" t="s">
        <v>32</v>
      </c>
      <c r="C252">
        <v>472.84</v>
      </c>
      <c r="D252">
        <f>VLOOKUP(表1_[[#This Row],[城市]],Sheet2!A:B,2,0)</f>
        <v>610000</v>
      </c>
      <c r="E252">
        <f>表1_[[#This Row],[年份]]+表1_[[#This Row],[行政区划]]</f>
        <v>612014</v>
      </c>
    </row>
    <row r="253" spans="1:5" x14ac:dyDescent="0.4">
      <c r="A253" t="s">
        <v>25</v>
      </c>
      <c r="B253" t="s">
        <v>33</v>
      </c>
      <c r="C253">
        <v>491.6</v>
      </c>
      <c r="D253">
        <f>VLOOKUP(表1_[[#This Row],[城市]],Sheet2!A:B,2,0)</f>
        <v>610000</v>
      </c>
      <c r="E253">
        <f>表1_[[#This Row],[年份]]+表1_[[#This Row],[行政区划]]</f>
        <v>612015</v>
      </c>
    </row>
    <row r="254" spans="1:5" x14ac:dyDescent="0.4">
      <c r="A254" t="s">
        <v>25</v>
      </c>
      <c r="B254" t="s">
        <v>34</v>
      </c>
      <c r="C254">
        <v>698.38</v>
      </c>
      <c r="D254">
        <f>VLOOKUP(表1_[[#This Row],[城市]],Sheet2!A:B,2,0)</f>
        <v>610000</v>
      </c>
      <c r="E254">
        <f>表1_[[#This Row],[年份]]+表1_[[#This Row],[行政区划]]</f>
        <v>612016</v>
      </c>
    </row>
    <row r="255" spans="1:5" x14ac:dyDescent="0.4">
      <c r="A255" t="s">
        <v>25</v>
      </c>
      <c r="B255" t="s">
        <v>35</v>
      </c>
      <c r="C255">
        <v>814.44</v>
      </c>
      <c r="D255">
        <f>VLOOKUP(表1_[[#This Row],[城市]],Sheet2!A:B,2,0)</f>
        <v>610000</v>
      </c>
      <c r="E255">
        <f>表1_[[#This Row],[年份]]+表1_[[#This Row],[行政区划]]</f>
        <v>612017</v>
      </c>
    </row>
    <row r="256" spans="1:5" x14ac:dyDescent="0.4">
      <c r="A256" t="s">
        <v>25</v>
      </c>
      <c r="B256" t="s">
        <v>36</v>
      </c>
      <c r="C256">
        <v>814.69</v>
      </c>
      <c r="D256">
        <f>VLOOKUP(表1_[[#This Row],[城市]],Sheet2!A:B,2,0)</f>
        <v>610000</v>
      </c>
      <c r="E256">
        <f>表1_[[#This Row],[年份]]+表1_[[#This Row],[行政区划]]</f>
        <v>612018</v>
      </c>
    </row>
    <row r="257" spans="1:5" x14ac:dyDescent="0.4">
      <c r="A257" t="s">
        <v>25</v>
      </c>
      <c r="B257" t="s">
        <v>37</v>
      </c>
      <c r="C257">
        <v>1021.16</v>
      </c>
      <c r="D257">
        <f>VLOOKUP(表1_[[#This Row],[城市]],Sheet2!A:B,2,0)</f>
        <v>610000</v>
      </c>
      <c r="E257">
        <f>表1_[[#This Row],[年份]]+表1_[[#This Row],[行政区划]]</f>
        <v>612019</v>
      </c>
    </row>
    <row r="258" spans="1:5" x14ac:dyDescent="0.4">
      <c r="A258" t="s">
        <v>25</v>
      </c>
      <c r="B258" t="s">
        <v>38</v>
      </c>
      <c r="C258">
        <v>1019.1</v>
      </c>
      <c r="D258">
        <f>VLOOKUP(表1_[[#This Row],[城市]],Sheet2!A:B,2,0)</f>
        <v>610000</v>
      </c>
      <c r="E258">
        <f>表1_[[#This Row],[年份]]+表1_[[#This Row],[行政区划]]</f>
        <v>612020</v>
      </c>
    </row>
    <row r="259" spans="1:5" x14ac:dyDescent="0.4">
      <c r="A259" t="s">
        <v>25</v>
      </c>
      <c r="B259" t="s">
        <v>39</v>
      </c>
      <c r="C259">
        <v>1813.6</v>
      </c>
      <c r="D259">
        <f>VLOOKUP(表1_[[#This Row],[城市]],Sheet2!A:B,2,0)</f>
        <v>610000</v>
      </c>
      <c r="E259">
        <f>表1_[[#This Row],[年份]]+表1_[[#This Row],[行政区划]]</f>
        <v>612021</v>
      </c>
    </row>
    <row r="260" spans="1:5" x14ac:dyDescent="0.4">
      <c r="A260" t="s">
        <v>25</v>
      </c>
      <c r="B260" t="s">
        <v>40</v>
      </c>
      <c r="C260">
        <v>2208.71</v>
      </c>
      <c r="D260">
        <f>VLOOKUP(表1_[[#This Row],[城市]],Sheet2!A:B,2,0)</f>
        <v>610000</v>
      </c>
      <c r="E260">
        <f>表1_[[#This Row],[年份]]+表1_[[#This Row],[行政区划]]</f>
        <v>612022</v>
      </c>
    </row>
    <row r="261" spans="1:5" x14ac:dyDescent="0.4">
      <c r="A261" t="s">
        <v>25</v>
      </c>
      <c r="B261" t="s">
        <v>41</v>
      </c>
      <c r="C261">
        <v>2906.49</v>
      </c>
      <c r="D261">
        <f>VLOOKUP(表1_[[#This Row],[城市]],Sheet2!A:B,2,0)</f>
        <v>610000</v>
      </c>
      <c r="E261">
        <f>表1_[[#This Row],[年份]]+表1_[[#This Row],[行政区划]]</f>
        <v>612023</v>
      </c>
    </row>
    <row r="262" spans="1:5" x14ac:dyDescent="0.4">
      <c r="A262" t="s">
        <v>26</v>
      </c>
      <c r="B262" t="s">
        <v>32</v>
      </c>
      <c r="C262">
        <v>390.42</v>
      </c>
      <c r="D262">
        <f>VLOOKUP(表1_[[#This Row],[城市]],Sheet2!A:B,2,0)</f>
        <v>620000</v>
      </c>
      <c r="E262">
        <f>表1_[[#This Row],[年份]]+表1_[[#This Row],[行政区划]]</f>
        <v>622014</v>
      </c>
    </row>
    <row r="263" spans="1:5" x14ac:dyDescent="0.4">
      <c r="A263" t="s">
        <v>26</v>
      </c>
      <c r="B263" t="s">
        <v>33</v>
      </c>
      <c r="C263">
        <v>553.80999999999995</v>
      </c>
      <c r="D263">
        <f>VLOOKUP(表1_[[#This Row],[城市]],Sheet2!A:B,2,0)</f>
        <v>620000</v>
      </c>
      <c r="E263">
        <f>表1_[[#This Row],[年份]]+表1_[[#This Row],[行政区划]]</f>
        <v>622015</v>
      </c>
    </row>
    <row r="264" spans="1:5" x14ac:dyDescent="0.4">
      <c r="A264" t="s">
        <v>26</v>
      </c>
      <c r="B264" t="s">
        <v>34</v>
      </c>
      <c r="C264">
        <v>376.3</v>
      </c>
      <c r="D264">
        <f>VLOOKUP(表1_[[#This Row],[城市]],Sheet2!A:B,2,0)</f>
        <v>620000</v>
      </c>
      <c r="E264">
        <f>表1_[[#This Row],[年份]]+表1_[[#This Row],[行政区划]]</f>
        <v>622016</v>
      </c>
    </row>
    <row r="265" spans="1:5" x14ac:dyDescent="0.4">
      <c r="A265" t="s">
        <v>26</v>
      </c>
      <c r="B265" t="s">
        <v>35</v>
      </c>
      <c r="C265">
        <v>777.78</v>
      </c>
      <c r="D265">
        <f>VLOOKUP(表1_[[#This Row],[城市]],Sheet2!A:B,2,0)</f>
        <v>620000</v>
      </c>
      <c r="E265">
        <f>表1_[[#This Row],[年份]]+表1_[[#This Row],[行政区划]]</f>
        <v>622017</v>
      </c>
    </row>
    <row r="266" spans="1:5" x14ac:dyDescent="0.4">
      <c r="A266" t="s">
        <v>26</v>
      </c>
      <c r="B266" t="s">
        <v>36</v>
      </c>
      <c r="C266">
        <v>784.82</v>
      </c>
      <c r="D266">
        <f>VLOOKUP(表1_[[#This Row],[城市]],Sheet2!A:B,2,0)</f>
        <v>620000</v>
      </c>
      <c r="E266">
        <f>表1_[[#This Row],[年份]]+表1_[[#This Row],[行政区划]]</f>
        <v>622018</v>
      </c>
    </row>
    <row r="267" spans="1:5" x14ac:dyDescent="0.4">
      <c r="A267" t="s">
        <v>26</v>
      </c>
      <c r="B267" t="s">
        <v>37</v>
      </c>
      <c r="C267">
        <v>788.44</v>
      </c>
      <c r="D267">
        <f>VLOOKUP(表1_[[#This Row],[城市]],Sheet2!A:B,2,0)</f>
        <v>620000</v>
      </c>
      <c r="E267">
        <f>表1_[[#This Row],[年份]]+表1_[[#This Row],[行政区划]]</f>
        <v>622019</v>
      </c>
    </row>
    <row r="268" spans="1:5" x14ac:dyDescent="0.4">
      <c r="A268" t="s">
        <v>26</v>
      </c>
      <c r="B268" t="s">
        <v>38</v>
      </c>
      <c r="C268">
        <v>815.7</v>
      </c>
      <c r="D268">
        <f>VLOOKUP(表1_[[#This Row],[城市]],Sheet2!A:B,2,0)</f>
        <v>620000</v>
      </c>
      <c r="E268">
        <f>表1_[[#This Row],[年份]]+表1_[[#This Row],[行政区划]]</f>
        <v>622020</v>
      </c>
    </row>
    <row r="269" spans="1:5" x14ac:dyDescent="0.4">
      <c r="A269" t="s">
        <v>26</v>
      </c>
      <c r="B269" t="s">
        <v>39</v>
      </c>
      <c r="C269">
        <v>876.44</v>
      </c>
      <c r="D269">
        <f>VLOOKUP(表1_[[#This Row],[城市]],Sheet2!A:B,2,0)</f>
        <v>620000</v>
      </c>
      <c r="E269">
        <f>表1_[[#This Row],[年份]]+表1_[[#This Row],[行政区划]]</f>
        <v>622021</v>
      </c>
    </row>
    <row r="270" spans="1:5" x14ac:dyDescent="0.4">
      <c r="A270" t="s">
        <v>26</v>
      </c>
      <c r="B270" t="s">
        <v>40</v>
      </c>
      <c r="C270">
        <v>1136.19</v>
      </c>
      <c r="D270">
        <f>VLOOKUP(表1_[[#This Row],[城市]],Sheet2!A:B,2,0)</f>
        <v>620000</v>
      </c>
      <c r="E270">
        <f>表1_[[#This Row],[年份]]+表1_[[#This Row],[行政区划]]</f>
        <v>622022</v>
      </c>
    </row>
    <row r="271" spans="1:5" x14ac:dyDescent="0.4">
      <c r="A271" t="s">
        <v>26</v>
      </c>
      <c r="B271" t="s">
        <v>41</v>
      </c>
      <c r="C271">
        <v>1039.55</v>
      </c>
      <c r="D271">
        <f>VLOOKUP(表1_[[#This Row],[城市]],Sheet2!A:B,2,0)</f>
        <v>620000</v>
      </c>
      <c r="E271">
        <f>表1_[[#This Row],[年份]]+表1_[[#This Row],[行政区划]]</f>
        <v>622023</v>
      </c>
    </row>
    <row r="272" spans="1:5" x14ac:dyDescent="0.4">
      <c r="A272" t="s">
        <v>27</v>
      </c>
      <c r="B272" t="s">
        <v>32</v>
      </c>
      <c r="C272">
        <v>49.39</v>
      </c>
      <c r="D272">
        <f>VLOOKUP(表1_[[#This Row],[城市]],Sheet2!A:B,2,0)</f>
        <v>630000</v>
      </c>
      <c r="E272">
        <f>表1_[[#This Row],[年份]]+表1_[[#This Row],[行政区划]]</f>
        <v>632014</v>
      </c>
    </row>
    <row r="273" spans="1:5" x14ac:dyDescent="0.4">
      <c r="A273" t="s">
        <v>27</v>
      </c>
      <c r="B273" t="s">
        <v>33</v>
      </c>
      <c r="C273">
        <v>91.04</v>
      </c>
      <c r="D273">
        <f>VLOOKUP(表1_[[#This Row],[城市]],Sheet2!A:B,2,0)</f>
        <v>630000</v>
      </c>
      <c r="E273">
        <f>表1_[[#This Row],[年份]]+表1_[[#This Row],[行政区划]]</f>
        <v>632015</v>
      </c>
    </row>
    <row r="274" spans="1:5" x14ac:dyDescent="0.4">
      <c r="A274" t="s">
        <v>27</v>
      </c>
      <c r="B274" t="s">
        <v>34</v>
      </c>
      <c r="C274">
        <v>449.44</v>
      </c>
      <c r="D274">
        <f>VLOOKUP(表1_[[#This Row],[城市]],Sheet2!A:B,2,0)</f>
        <v>630000</v>
      </c>
      <c r="E274">
        <f>表1_[[#This Row],[年份]]+表1_[[#This Row],[行政区划]]</f>
        <v>632016</v>
      </c>
    </row>
    <row r="275" spans="1:5" x14ac:dyDescent="0.4">
      <c r="A275" t="s">
        <v>27</v>
      </c>
      <c r="B275" t="s">
        <v>35</v>
      </c>
      <c r="C275">
        <v>153.63</v>
      </c>
      <c r="D275">
        <f>VLOOKUP(表1_[[#This Row],[城市]],Sheet2!A:B,2,0)</f>
        <v>630000</v>
      </c>
      <c r="E275">
        <f>表1_[[#This Row],[年份]]+表1_[[#This Row],[行政区划]]</f>
        <v>632017</v>
      </c>
    </row>
    <row r="276" spans="1:5" x14ac:dyDescent="0.4">
      <c r="A276" t="s">
        <v>27</v>
      </c>
      <c r="B276" t="s">
        <v>36</v>
      </c>
      <c r="C276">
        <v>169.09</v>
      </c>
      <c r="D276">
        <f>VLOOKUP(表1_[[#This Row],[城市]],Sheet2!A:B,2,0)</f>
        <v>630000</v>
      </c>
      <c r="E276">
        <f>表1_[[#This Row],[年份]]+表1_[[#This Row],[行政区划]]</f>
        <v>632018</v>
      </c>
    </row>
    <row r="277" spans="1:5" x14ac:dyDescent="0.4">
      <c r="A277" t="s">
        <v>27</v>
      </c>
      <c r="B277" t="s">
        <v>37</v>
      </c>
      <c r="C277">
        <v>219.03</v>
      </c>
      <c r="D277">
        <f>VLOOKUP(表1_[[#This Row],[城市]],Sheet2!A:B,2,0)</f>
        <v>630000</v>
      </c>
      <c r="E277">
        <f>表1_[[#This Row],[年份]]+表1_[[#This Row],[行政区划]]</f>
        <v>632019</v>
      </c>
    </row>
    <row r="278" spans="1:5" x14ac:dyDescent="0.4">
      <c r="A278" t="s">
        <v>27</v>
      </c>
      <c r="B278" t="s">
        <v>38</v>
      </c>
      <c r="C278">
        <v>197.4</v>
      </c>
      <c r="D278">
        <f>VLOOKUP(表1_[[#This Row],[城市]],Sheet2!A:B,2,0)</f>
        <v>630000</v>
      </c>
      <c r="E278">
        <f>表1_[[#This Row],[年份]]+表1_[[#This Row],[行政区划]]</f>
        <v>632020</v>
      </c>
    </row>
    <row r="279" spans="1:5" x14ac:dyDescent="0.4">
      <c r="A279" t="s">
        <v>27</v>
      </c>
      <c r="B279" t="s">
        <v>39</v>
      </c>
      <c r="C279">
        <v>275.77999999999997</v>
      </c>
      <c r="D279">
        <f>VLOOKUP(表1_[[#This Row],[城市]],Sheet2!A:B,2,0)</f>
        <v>630000</v>
      </c>
      <c r="E279">
        <f>表1_[[#This Row],[年份]]+表1_[[#This Row],[行政区划]]</f>
        <v>632021</v>
      </c>
    </row>
    <row r="280" spans="1:5" x14ac:dyDescent="0.4">
      <c r="A280" t="s">
        <v>27</v>
      </c>
      <c r="B280" t="s">
        <v>40</v>
      </c>
      <c r="C280">
        <v>315.77999999999997</v>
      </c>
      <c r="D280">
        <f>VLOOKUP(表1_[[#This Row],[城市]],Sheet2!A:B,2,0)</f>
        <v>630000</v>
      </c>
      <c r="E280">
        <f>表1_[[#This Row],[年份]]+表1_[[#This Row],[行政区划]]</f>
        <v>632022</v>
      </c>
    </row>
    <row r="281" spans="1:5" x14ac:dyDescent="0.4">
      <c r="A281" t="s">
        <v>27</v>
      </c>
      <c r="B281" t="s">
        <v>41</v>
      </c>
      <c r="C281">
        <v>353.31</v>
      </c>
      <c r="D281">
        <f>VLOOKUP(表1_[[#This Row],[城市]],Sheet2!A:B,2,0)</f>
        <v>630000</v>
      </c>
      <c r="E281">
        <f>表1_[[#This Row],[年份]]+表1_[[#This Row],[行政区划]]</f>
        <v>632023</v>
      </c>
    </row>
    <row r="282" spans="1:5" x14ac:dyDescent="0.4">
      <c r="A282" t="s">
        <v>28</v>
      </c>
      <c r="B282" t="s">
        <v>32</v>
      </c>
      <c r="C282">
        <v>84.04</v>
      </c>
      <c r="D282">
        <f>VLOOKUP(表1_[[#This Row],[城市]],Sheet2!A:B,2,0)</f>
        <v>640000</v>
      </c>
      <c r="E282">
        <f>表1_[[#This Row],[年份]]+表1_[[#This Row],[行政区划]]</f>
        <v>642014</v>
      </c>
    </row>
    <row r="283" spans="1:5" x14ac:dyDescent="0.4">
      <c r="A283" t="s">
        <v>28</v>
      </c>
      <c r="B283" t="s">
        <v>33</v>
      </c>
      <c r="C283">
        <v>79.28</v>
      </c>
      <c r="D283">
        <f>VLOOKUP(表1_[[#This Row],[城市]],Sheet2!A:B,2,0)</f>
        <v>640000</v>
      </c>
      <c r="E283">
        <f>表1_[[#This Row],[年份]]+表1_[[#This Row],[行政区划]]</f>
        <v>642015</v>
      </c>
    </row>
    <row r="284" spans="1:5" x14ac:dyDescent="0.4">
      <c r="A284" t="s">
        <v>28</v>
      </c>
      <c r="B284" t="s">
        <v>34</v>
      </c>
      <c r="C284">
        <v>117.69</v>
      </c>
      <c r="D284">
        <f>VLOOKUP(表1_[[#This Row],[城市]],Sheet2!A:B,2,0)</f>
        <v>640000</v>
      </c>
      <c r="E284">
        <f>表1_[[#This Row],[年份]]+表1_[[#This Row],[行政区划]]</f>
        <v>642016</v>
      </c>
    </row>
    <row r="285" spans="1:5" x14ac:dyDescent="0.4">
      <c r="A285" t="s">
        <v>28</v>
      </c>
      <c r="B285" t="s">
        <v>35</v>
      </c>
      <c r="C285">
        <v>185.25</v>
      </c>
      <c r="D285">
        <f>VLOOKUP(表1_[[#This Row],[城市]],Sheet2!A:B,2,0)</f>
        <v>640000</v>
      </c>
      <c r="E285">
        <f>表1_[[#This Row],[年份]]+表1_[[#This Row],[行政区划]]</f>
        <v>642017</v>
      </c>
    </row>
    <row r="286" spans="1:5" x14ac:dyDescent="0.4">
      <c r="A286" t="s">
        <v>28</v>
      </c>
      <c r="B286" t="s">
        <v>36</v>
      </c>
      <c r="C286">
        <v>217.64</v>
      </c>
      <c r="D286">
        <f>VLOOKUP(表1_[[#This Row],[城市]],Sheet2!A:B,2,0)</f>
        <v>640000</v>
      </c>
      <c r="E286">
        <f>表1_[[#This Row],[年份]]+表1_[[#This Row],[行政区划]]</f>
        <v>642018</v>
      </c>
    </row>
    <row r="287" spans="1:5" x14ac:dyDescent="0.4">
      <c r="A287" t="s">
        <v>28</v>
      </c>
      <c r="B287" t="s">
        <v>37</v>
      </c>
      <c r="C287">
        <v>171.78</v>
      </c>
      <c r="D287">
        <f>VLOOKUP(表1_[[#This Row],[城市]],Sheet2!A:B,2,0)</f>
        <v>640000</v>
      </c>
      <c r="E287">
        <f>表1_[[#This Row],[年份]]+表1_[[#This Row],[行政区划]]</f>
        <v>642019</v>
      </c>
    </row>
    <row r="288" spans="1:5" x14ac:dyDescent="0.4">
      <c r="A288" t="s">
        <v>28</v>
      </c>
      <c r="B288" t="s">
        <v>38</v>
      </c>
      <c r="C288">
        <v>193.8</v>
      </c>
      <c r="D288">
        <f>VLOOKUP(表1_[[#This Row],[城市]],Sheet2!A:B,2,0)</f>
        <v>640000</v>
      </c>
      <c r="E288">
        <f>表1_[[#This Row],[年份]]+表1_[[#This Row],[行政区划]]</f>
        <v>642020</v>
      </c>
    </row>
    <row r="289" spans="1:5" x14ac:dyDescent="0.4">
      <c r="A289" t="s">
        <v>28</v>
      </c>
      <c r="B289" t="s">
        <v>39</v>
      </c>
      <c r="C289">
        <v>236.07</v>
      </c>
      <c r="D289">
        <f>VLOOKUP(表1_[[#This Row],[城市]],Sheet2!A:B,2,0)</f>
        <v>640000</v>
      </c>
      <c r="E289">
        <f>表1_[[#This Row],[年份]]+表1_[[#This Row],[行政区划]]</f>
        <v>642021</v>
      </c>
    </row>
    <row r="290" spans="1:5" x14ac:dyDescent="0.4">
      <c r="A290" t="s">
        <v>28</v>
      </c>
      <c r="B290" t="s">
        <v>40</v>
      </c>
      <c r="C290">
        <v>341.55</v>
      </c>
      <c r="D290">
        <f>VLOOKUP(表1_[[#This Row],[城市]],Sheet2!A:B,2,0)</f>
        <v>640000</v>
      </c>
      <c r="E290">
        <f>表1_[[#This Row],[年份]]+表1_[[#This Row],[行政区划]]</f>
        <v>642022</v>
      </c>
    </row>
    <row r="291" spans="1:5" x14ac:dyDescent="0.4">
      <c r="A291" t="s">
        <v>28</v>
      </c>
      <c r="B291" t="s">
        <v>41</v>
      </c>
      <c r="C291">
        <v>482.91</v>
      </c>
      <c r="D291">
        <f>VLOOKUP(表1_[[#This Row],[城市]],Sheet2!A:B,2,0)</f>
        <v>640000</v>
      </c>
      <c r="E291">
        <f>表1_[[#This Row],[年份]]+表1_[[#This Row],[行政区划]]</f>
        <v>642023</v>
      </c>
    </row>
    <row r="292" spans="1:5" x14ac:dyDescent="0.4">
      <c r="A292" t="s">
        <v>29</v>
      </c>
      <c r="B292" t="s">
        <v>32</v>
      </c>
      <c r="C292">
        <v>386.41</v>
      </c>
      <c r="D292">
        <f>VLOOKUP(表1_[[#This Row],[城市]],Sheet2!A:B,2,0)</f>
        <v>650000</v>
      </c>
      <c r="E292">
        <f>表1_[[#This Row],[年份]]+表1_[[#This Row],[行政区划]]</f>
        <v>652014</v>
      </c>
    </row>
    <row r="293" spans="1:5" x14ac:dyDescent="0.4">
      <c r="A293" t="s">
        <v>29</v>
      </c>
      <c r="B293" t="s">
        <v>33</v>
      </c>
      <c r="C293">
        <v>562.21</v>
      </c>
      <c r="D293">
        <f>VLOOKUP(表1_[[#This Row],[城市]],Sheet2!A:B,2,0)</f>
        <v>650000</v>
      </c>
      <c r="E293">
        <f>表1_[[#This Row],[年份]]+表1_[[#This Row],[行政区划]]</f>
        <v>652015</v>
      </c>
    </row>
    <row r="294" spans="1:5" x14ac:dyDescent="0.4">
      <c r="A294" t="s">
        <v>29</v>
      </c>
      <c r="B294" t="s">
        <v>34</v>
      </c>
      <c r="C294">
        <v>272.62</v>
      </c>
      <c r="D294">
        <f>VLOOKUP(表1_[[#This Row],[城市]],Sheet2!A:B,2,0)</f>
        <v>650000</v>
      </c>
      <c r="E294">
        <f>表1_[[#This Row],[年份]]+表1_[[#This Row],[行政区划]]</f>
        <v>652016</v>
      </c>
    </row>
    <row r="295" spans="1:5" x14ac:dyDescent="0.4">
      <c r="A295" t="s">
        <v>29</v>
      </c>
      <c r="B295" t="s">
        <v>35</v>
      </c>
      <c r="C295">
        <v>300.11</v>
      </c>
      <c r="D295">
        <f>VLOOKUP(表1_[[#This Row],[城市]],Sheet2!A:B,2,0)</f>
        <v>650000</v>
      </c>
      <c r="E295">
        <f>表1_[[#This Row],[年份]]+表1_[[#This Row],[行政区划]]</f>
        <v>652017</v>
      </c>
    </row>
    <row r="296" spans="1:5" x14ac:dyDescent="0.4">
      <c r="A296" t="s">
        <v>29</v>
      </c>
      <c r="B296" t="s">
        <v>36</v>
      </c>
      <c r="C296">
        <v>580.91</v>
      </c>
      <c r="D296">
        <f>VLOOKUP(表1_[[#This Row],[城市]],Sheet2!A:B,2,0)</f>
        <v>650000</v>
      </c>
      <c r="E296">
        <f>表1_[[#This Row],[年份]]+表1_[[#This Row],[行政区划]]</f>
        <v>652018</v>
      </c>
    </row>
    <row r="297" spans="1:5" x14ac:dyDescent="0.4">
      <c r="A297" t="s">
        <v>29</v>
      </c>
      <c r="B297" t="s">
        <v>37</v>
      </c>
      <c r="C297">
        <v>764.86</v>
      </c>
      <c r="D297">
        <f>VLOOKUP(表1_[[#This Row],[城市]],Sheet2!A:B,2,0)</f>
        <v>650000</v>
      </c>
      <c r="E297">
        <f>表1_[[#This Row],[年份]]+表1_[[#This Row],[行政区划]]</f>
        <v>652019</v>
      </c>
    </row>
    <row r="298" spans="1:5" x14ac:dyDescent="0.4">
      <c r="A298" t="s">
        <v>29</v>
      </c>
      <c r="B298" t="s">
        <v>38</v>
      </c>
      <c r="C298">
        <v>722.7</v>
      </c>
      <c r="D298">
        <f>VLOOKUP(表1_[[#This Row],[城市]],Sheet2!A:B,2,0)</f>
        <v>650000</v>
      </c>
      <c r="E298">
        <f>表1_[[#This Row],[年份]]+表1_[[#This Row],[行政区划]]</f>
        <v>652020</v>
      </c>
    </row>
    <row r="299" spans="1:5" x14ac:dyDescent="0.4">
      <c r="A299" t="s">
        <v>29</v>
      </c>
      <c r="B299" t="s">
        <v>39</v>
      </c>
      <c r="C299">
        <v>871.45</v>
      </c>
      <c r="D299">
        <f>VLOOKUP(表1_[[#This Row],[城市]],Sheet2!A:B,2,0)</f>
        <v>650000</v>
      </c>
      <c r="E299">
        <f>表1_[[#This Row],[年份]]+表1_[[#This Row],[行政区划]]</f>
        <v>652021</v>
      </c>
    </row>
    <row r="300" spans="1:5" x14ac:dyDescent="0.4">
      <c r="A300" t="s">
        <v>29</v>
      </c>
      <c r="B300" t="s">
        <v>40</v>
      </c>
      <c r="C300">
        <v>1432.31</v>
      </c>
      <c r="D300">
        <f>VLOOKUP(表1_[[#This Row],[城市]],Sheet2!A:B,2,0)</f>
        <v>650000</v>
      </c>
      <c r="E300">
        <f>表1_[[#This Row],[年份]]+表1_[[#This Row],[行政区划]]</f>
        <v>652022</v>
      </c>
    </row>
    <row r="301" spans="1:5" x14ac:dyDescent="0.4">
      <c r="A301" t="s">
        <v>29</v>
      </c>
      <c r="B301" t="s">
        <v>41</v>
      </c>
      <c r="C301">
        <v>2505.3200000000002</v>
      </c>
      <c r="D301">
        <f>VLOOKUP(表1_[[#This Row],[城市]],Sheet2!A:B,2,0)</f>
        <v>650000</v>
      </c>
      <c r="E301">
        <f>表1_[[#This Row],[年份]]+表1_[[#This Row],[行政区划]]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FF5C-C66A-4335-AE8B-DDB76F277FF6}">
  <dimension ref="A1:B31"/>
  <sheetViews>
    <sheetView workbookViewId="0">
      <selection activeCell="D5" sqref="D5"/>
    </sheetView>
  </sheetViews>
  <sheetFormatPr defaultRowHeight="13.9" x14ac:dyDescent="0.4"/>
  <sheetData>
    <row r="1" spans="1:2" x14ac:dyDescent="0.4">
      <c r="A1" s="2" t="s">
        <v>46</v>
      </c>
      <c r="B1" s="2" t="s">
        <v>47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FF27-48D0-4E3A-8A59-0960A4685A48}">
  <dimension ref="A1:K31"/>
  <sheetViews>
    <sheetView workbookViewId="0">
      <selection sqref="A1:K31"/>
    </sheetView>
  </sheetViews>
  <sheetFormatPr defaultRowHeight="13.9" x14ac:dyDescent="0.4"/>
  <sheetData>
    <row r="1" spans="1:11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4">
      <c r="A2" t="s">
        <v>0</v>
      </c>
      <c r="B2" s="1">
        <v>7563.91</v>
      </c>
      <c r="C2" s="1">
        <v>9534.1299999999992</v>
      </c>
      <c r="D2" s="1">
        <v>9340.64</v>
      </c>
      <c r="E2" s="1">
        <v>11055.83</v>
      </c>
      <c r="F2" s="1">
        <v>10623.59</v>
      </c>
      <c r="G2" s="1">
        <v>13420.45</v>
      </c>
      <c r="H2" s="1">
        <v>15296.4</v>
      </c>
      <c r="I2" s="1">
        <v>16856.189999999999</v>
      </c>
      <c r="J2" s="1">
        <v>21284.86</v>
      </c>
      <c r="K2" s="1">
        <v>22713.040000000001</v>
      </c>
    </row>
    <row r="3" spans="1:11" x14ac:dyDescent="0.4">
      <c r="A3" t="s">
        <v>1</v>
      </c>
      <c r="B3" s="1">
        <v>1400.55</v>
      </c>
      <c r="C3" s="1">
        <v>2068.35</v>
      </c>
      <c r="D3" s="1">
        <v>1434.81</v>
      </c>
      <c r="E3" s="1">
        <v>1766.44</v>
      </c>
      <c r="F3" s="1">
        <v>1906.31</v>
      </c>
      <c r="G3" s="1">
        <v>2346.38</v>
      </c>
      <c r="H3" s="1">
        <v>2404</v>
      </c>
      <c r="I3" s="1">
        <v>2437.4699999999998</v>
      </c>
      <c r="J3" s="1">
        <v>4385.8100000000004</v>
      </c>
      <c r="K3" s="1">
        <v>4556.84</v>
      </c>
    </row>
    <row r="4" spans="1:11" x14ac:dyDescent="0.4">
      <c r="A4" t="s">
        <v>2</v>
      </c>
      <c r="B4" s="1">
        <v>1118.4100000000001</v>
      </c>
      <c r="C4">
        <v>863.49</v>
      </c>
      <c r="D4" s="1">
        <v>1045.53</v>
      </c>
      <c r="E4" s="1">
        <v>2842.59</v>
      </c>
      <c r="F4" s="1">
        <v>1971.41</v>
      </c>
      <c r="G4" s="1">
        <v>1925.99</v>
      </c>
      <c r="H4" s="1">
        <v>1717.6</v>
      </c>
      <c r="I4" s="1">
        <v>2265.5100000000002</v>
      </c>
      <c r="J4" s="1">
        <v>2061.0300000000002</v>
      </c>
      <c r="K4" s="1">
        <v>1979.59</v>
      </c>
    </row>
    <row r="5" spans="1:11" x14ac:dyDescent="0.4">
      <c r="A5" t="s">
        <v>3</v>
      </c>
      <c r="B5">
        <v>392.95</v>
      </c>
      <c r="C5">
        <v>380.38</v>
      </c>
      <c r="D5">
        <v>621.37</v>
      </c>
      <c r="E5">
        <v>733.02</v>
      </c>
      <c r="F5">
        <v>922.06</v>
      </c>
      <c r="G5" s="1">
        <v>1342.86</v>
      </c>
      <c r="H5">
        <v>928.4</v>
      </c>
      <c r="I5" s="1">
        <v>1619.02</v>
      </c>
      <c r="J5" s="1">
        <v>1768.86</v>
      </c>
      <c r="K5" s="1">
        <v>2206.33</v>
      </c>
    </row>
    <row r="6" spans="1:11" x14ac:dyDescent="0.4">
      <c r="A6" t="s">
        <v>4</v>
      </c>
      <c r="B6">
        <v>214.6</v>
      </c>
      <c r="C6">
        <v>910.66</v>
      </c>
      <c r="D6" s="1">
        <v>1026.94</v>
      </c>
      <c r="E6" s="1">
        <v>1074.8599999999999</v>
      </c>
      <c r="F6" s="1">
        <v>1258.3499999999999</v>
      </c>
      <c r="G6" s="1">
        <v>1631.26</v>
      </c>
      <c r="H6" s="1">
        <v>2013.7</v>
      </c>
      <c r="I6" s="1">
        <v>2845.3</v>
      </c>
      <c r="J6" s="1">
        <v>2863.84</v>
      </c>
      <c r="K6" s="1">
        <v>2198.36</v>
      </c>
    </row>
    <row r="7" spans="1:11" x14ac:dyDescent="0.4">
      <c r="A7" t="s">
        <v>5</v>
      </c>
      <c r="B7">
        <v>976.95</v>
      </c>
      <c r="C7" s="1">
        <v>1107.6199999999999</v>
      </c>
      <c r="D7" s="1">
        <v>1058.28</v>
      </c>
      <c r="E7" s="1">
        <v>1135.01</v>
      </c>
      <c r="F7" s="1">
        <v>2264.16</v>
      </c>
      <c r="G7" s="1">
        <v>2570.2800000000002</v>
      </c>
      <c r="H7" s="1">
        <v>2646.9</v>
      </c>
      <c r="I7" s="1">
        <v>2870.64</v>
      </c>
      <c r="J7" s="1">
        <v>3438.34</v>
      </c>
      <c r="K7" s="1">
        <v>4025.08</v>
      </c>
    </row>
    <row r="8" spans="1:11" x14ac:dyDescent="0.4">
      <c r="A8" t="s">
        <v>6</v>
      </c>
      <c r="B8">
        <v>250.07</v>
      </c>
      <c r="C8">
        <v>263.05</v>
      </c>
      <c r="D8">
        <v>236.09</v>
      </c>
      <c r="E8">
        <v>255.15</v>
      </c>
      <c r="F8">
        <v>288.37</v>
      </c>
      <c r="G8">
        <v>288.92</v>
      </c>
      <c r="H8">
        <v>346.7</v>
      </c>
      <c r="I8">
        <v>348.96</v>
      </c>
      <c r="J8">
        <v>331.24</v>
      </c>
      <c r="K8" s="1">
        <v>1247.33</v>
      </c>
    </row>
    <row r="9" spans="1:11" x14ac:dyDescent="0.4">
      <c r="A9" t="s">
        <v>7</v>
      </c>
      <c r="B9">
        <v>643.96</v>
      </c>
      <c r="C9">
        <v>120.66</v>
      </c>
      <c r="D9">
        <v>238.9</v>
      </c>
      <c r="E9">
        <v>417.31</v>
      </c>
      <c r="F9">
        <v>310.83999999999997</v>
      </c>
      <c r="G9">
        <v>314.88</v>
      </c>
      <c r="H9">
        <v>367.8</v>
      </c>
      <c r="I9">
        <v>610.41</v>
      </c>
      <c r="J9">
        <v>676</v>
      </c>
      <c r="K9">
        <v>573.84</v>
      </c>
    </row>
    <row r="10" spans="1:11" x14ac:dyDescent="0.4">
      <c r="A10" t="s">
        <v>8</v>
      </c>
      <c r="B10" s="1">
        <v>6633</v>
      </c>
      <c r="C10" s="1">
        <v>6119.8</v>
      </c>
      <c r="D10" s="1">
        <v>8175.78</v>
      </c>
      <c r="E10" s="1">
        <v>8814.2199999999993</v>
      </c>
      <c r="F10" s="1">
        <v>9664.4</v>
      </c>
      <c r="G10" s="1">
        <v>11367.51</v>
      </c>
      <c r="H10" s="1">
        <v>14097.3</v>
      </c>
      <c r="I10" s="1">
        <v>19284.3</v>
      </c>
      <c r="J10" s="1">
        <v>24329.03</v>
      </c>
      <c r="K10" s="1">
        <v>38057.199999999997</v>
      </c>
    </row>
    <row r="11" spans="1:11" x14ac:dyDescent="0.4">
      <c r="A11" t="s">
        <v>9</v>
      </c>
      <c r="B11" s="1">
        <v>4677.66</v>
      </c>
      <c r="C11" s="1">
        <v>4315.33</v>
      </c>
      <c r="D11" s="1">
        <v>4406.2700000000004</v>
      </c>
      <c r="E11" s="1">
        <v>5227.24</v>
      </c>
      <c r="F11" s="1">
        <v>6534.76</v>
      </c>
      <c r="G11" s="1">
        <v>7417.99</v>
      </c>
      <c r="H11" s="1">
        <v>7713</v>
      </c>
      <c r="I11" s="1">
        <v>7234.18</v>
      </c>
      <c r="J11" s="1">
        <v>10566.52</v>
      </c>
      <c r="K11" s="1">
        <v>13372.83</v>
      </c>
    </row>
    <row r="12" spans="1:11" x14ac:dyDescent="0.4">
      <c r="A12" t="s">
        <v>10</v>
      </c>
      <c r="B12" s="1">
        <v>1770.45</v>
      </c>
      <c r="C12" s="1">
        <v>1751.58</v>
      </c>
      <c r="D12" s="1">
        <v>2261.63</v>
      </c>
      <c r="E12" s="1">
        <v>2528.7399999999998</v>
      </c>
      <c r="F12" s="1">
        <v>2648.93</v>
      </c>
      <c r="G12" s="1">
        <v>4005.17</v>
      </c>
      <c r="H12" s="1">
        <v>4377.1000000000004</v>
      </c>
      <c r="I12" s="1">
        <v>4982.54</v>
      </c>
      <c r="J12" s="1">
        <v>5841.24</v>
      </c>
      <c r="K12" s="1">
        <v>7757.28</v>
      </c>
    </row>
    <row r="13" spans="1:11" x14ac:dyDescent="0.4">
      <c r="A13" t="s">
        <v>11</v>
      </c>
      <c r="B13" s="1">
        <v>1377.14</v>
      </c>
      <c r="C13" s="1">
        <v>1921.8</v>
      </c>
      <c r="D13" s="1">
        <v>1967.69</v>
      </c>
      <c r="E13" s="1">
        <v>1951.23</v>
      </c>
      <c r="F13" s="1">
        <v>2103.1799999999998</v>
      </c>
      <c r="G13" s="1">
        <v>2231.3000000000002</v>
      </c>
      <c r="H13" s="1">
        <v>2734.4</v>
      </c>
      <c r="I13" s="1">
        <v>3647.18</v>
      </c>
      <c r="J13" s="1">
        <v>3944.22</v>
      </c>
      <c r="K13" s="1">
        <v>4987.1099999999997</v>
      </c>
    </row>
    <row r="14" spans="1:11" x14ac:dyDescent="0.4">
      <c r="A14" t="s">
        <v>12</v>
      </c>
      <c r="B14">
        <v>768.94</v>
      </c>
      <c r="C14">
        <v>820.27</v>
      </c>
      <c r="D14">
        <v>877.94</v>
      </c>
      <c r="E14" s="1">
        <v>1043.32</v>
      </c>
      <c r="F14">
        <v>998.1</v>
      </c>
      <c r="G14" s="1">
        <v>1725.13</v>
      </c>
      <c r="H14" s="1">
        <v>1767.2</v>
      </c>
      <c r="I14" s="1">
        <v>2292.39</v>
      </c>
      <c r="J14" s="1">
        <v>2240.7600000000002</v>
      </c>
      <c r="K14" s="1">
        <v>2862.38</v>
      </c>
    </row>
    <row r="15" spans="1:11" x14ac:dyDescent="0.4">
      <c r="A15" t="s">
        <v>13</v>
      </c>
      <c r="B15">
        <v>424.61</v>
      </c>
      <c r="C15">
        <v>575.21</v>
      </c>
      <c r="D15">
        <v>657.61</v>
      </c>
      <c r="E15">
        <v>940.73</v>
      </c>
      <c r="F15" s="1">
        <v>1048.8699999999999</v>
      </c>
      <c r="G15" s="1">
        <v>1369.07</v>
      </c>
      <c r="H15" s="1">
        <v>1585.2</v>
      </c>
      <c r="I15" s="1">
        <v>1860.14</v>
      </c>
      <c r="J15" s="1">
        <v>1275.1099999999999</v>
      </c>
      <c r="K15" s="1">
        <v>1411.35</v>
      </c>
    </row>
    <row r="16" spans="1:11" x14ac:dyDescent="0.4">
      <c r="A16" t="s">
        <v>14</v>
      </c>
      <c r="B16" s="1">
        <v>3660.49</v>
      </c>
      <c r="C16" s="1">
        <v>3713.22</v>
      </c>
      <c r="D16" s="1">
        <v>6349.15</v>
      </c>
      <c r="E16" s="1">
        <v>8292.1299999999992</v>
      </c>
      <c r="F16" s="1">
        <v>10034.34</v>
      </c>
      <c r="G16" s="1">
        <v>7959.77</v>
      </c>
      <c r="H16" s="1">
        <v>7629.8</v>
      </c>
      <c r="I16" s="1">
        <v>9115.57</v>
      </c>
      <c r="J16" s="1">
        <v>11298.2</v>
      </c>
      <c r="K16" s="1">
        <v>13864.83</v>
      </c>
    </row>
    <row r="17" spans="1:11" x14ac:dyDescent="0.4">
      <c r="A17" t="s">
        <v>15</v>
      </c>
      <c r="B17" s="1">
        <v>1357.06</v>
      </c>
      <c r="C17" s="1">
        <v>1559.68</v>
      </c>
      <c r="D17" s="1">
        <v>1596.41</v>
      </c>
      <c r="E17" s="1">
        <v>1752.68</v>
      </c>
      <c r="F17" s="1">
        <v>2220.21</v>
      </c>
      <c r="G17" s="1">
        <v>2460.14</v>
      </c>
      <c r="H17" s="1">
        <v>2672.1</v>
      </c>
      <c r="I17" s="1">
        <v>3523.58</v>
      </c>
      <c r="J17" s="1">
        <v>3205.6</v>
      </c>
      <c r="K17" s="1">
        <v>3953.67</v>
      </c>
    </row>
    <row r="18" spans="1:11" x14ac:dyDescent="0.4">
      <c r="A18" t="s">
        <v>16</v>
      </c>
      <c r="B18" s="1">
        <v>1344.94</v>
      </c>
      <c r="C18" s="1">
        <v>1140.76</v>
      </c>
      <c r="D18" s="1">
        <v>1455.18</v>
      </c>
      <c r="E18" s="1">
        <v>1755.55</v>
      </c>
      <c r="F18" s="1">
        <v>1825.92</v>
      </c>
      <c r="G18" s="1">
        <v>3074.54</v>
      </c>
      <c r="H18" s="1">
        <v>2946.9</v>
      </c>
      <c r="I18" s="1">
        <v>3495.6</v>
      </c>
      <c r="J18" s="1">
        <v>4157.38</v>
      </c>
      <c r="K18" s="1">
        <v>4446.93</v>
      </c>
    </row>
    <row r="19" spans="1:11" x14ac:dyDescent="0.4">
      <c r="A19" t="s">
        <v>17</v>
      </c>
      <c r="B19" s="1">
        <v>1036.04</v>
      </c>
      <c r="C19">
        <v>898.56</v>
      </c>
      <c r="D19">
        <v>966.69</v>
      </c>
      <c r="E19" s="1">
        <v>1162.17</v>
      </c>
      <c r="F19" s="1">
        <v>2581.31</v>
      </c>
      <c r="G19" s="1">
        <v>2308.2600000000002</v>
      </c>
      <c r="H19" s="1">
        <v>2820.2</v>
      </c>
      <c r="I19" s="1">
        <v>3484.93</v>
      </c>
      <c r="J19" s="1">
        <v>3244.44</v>
      </c>
      <c r="K19" s="1">
        <v>3866.51</v>
      </c>
    </row>
    <row r="20" spans="1:11" x14ac:dyDescent="0.4">
      <c r="A20" t="s">
        <v>18</v>
      </c>
      <c r="B20" s="1">
        <v>8623.31</v>
      </c>
      <c r="C20" s="1">
        <v>10107.870000000001</v>
      </c>
      <c r="D20" s="1">
        <v>12854.75</v>
      </c>
      <c r="E20" s="1">
        <v>13904.42</v>
      </c>
      <c r="F20" s="1">
        <v>17104.59</v>
      </c>
      <c r="G20" s="1">
        <v>21902.5</v>
      </c>
      <c r="H20" s="1">
        <v>21879.3</v>
      </c>
      <c r="I20" s="1">
        <v>20748.349999999999</v>
      </c>
      <c r="J20" s="1">
        <v>23038.69</v>
      </c>
      <c r="K20" s="1">
        <v>29140.73</v>
      </c>
    </row>
    <row r="21" spans="1:11" x14ac:dyDescent="0.4">
      <c r="A21" t="s">
        <v>19</v>
      </c>
      <c r="B21">
        <v>393.29</v>
      </c>
      <c r="C21">
        <v>642.87</v>
      </c>
      <c r="D21">
        <v>637.79999999999995</v>
      </c>
      <c r="E21">
        <v>655.7</v>
      </c>
      <c r="F21">
        <v>815.77</v>
      </c>
      <c r="G21" s="1">
        <v>1355.27</v>
      </c>
      <c r="H21" s="1">
        <v>1223</v>
      </c>
      <c r="I21" s="1">
        <v>1329.95</v>
      </c>
      <c r="J21" s="1">
        <v>1634.55</v>
      </c>
      <c r="K21" s="1">
        <v>1976.24</v>
      </c>
    </row>
    <row r="22" spans="1:11" x14ac:dyDescent="0.4">
      <c r="A22" t="s">
        <v>20</v>
      </c>
      <c r="B22">
        <v>198.36</v>
      </c>
      <c r="C22">
        <v>265.70999999999998</v>
      </c>
      <c r="D22">
        <v>263.32</v>
      </c>
      <c r="E22">
        <v>260</v>
      </c>
      <c r="F22">
        <v>284.52999999999997</v>
      </c>
      <c r="G22">
        <v>297.07</v>
      </c>
      <c r="H22">
        <v>321.60000000000002</v>
      </c>
      <c r="I22">
        <v>360.43</v>
      </c>
      <c r="J22">
        <v>498.78</v>
      </c>
      <c r="K22">
        <v>636.04999999999995</v>
      </c>
    </row>
    <row r="23" spans="1:11" x14ac:dyDescent="0.4">
      <c r="A23" t="s">
        <v>21</v>
      </c>
      <c r="B23">
        <v>484.41</v>
      </c>
      <c r="C23">
        <v>754.17</v>
      </c>
      <c r="D23" s="1">
        <v>1228.9100000000001</v>
      </c>
      <c r="E23" s="1">
        <v>1201.56</v>
      </c>
      <c r="F23" s="1">
        <v>1624.72</v>
      </c>
      <c r="G23" s="1">
        <v>1719.79</v>
      </c>
      <c r="H23" s="1">
        <v>2148.4</v>
      </c>
      <c r="I23" s="1">
        <v>2851.25</v>
      </c>
      <c r="J23" s="1">
        <v>4338.47</v>
      </c>
      <c r="K23" s="1">
        <v>4917.8</v>
      </c>
    </row>
    <row r="24" spans="1:11" x14ac:dyDescent="0.4">
      <c r="A24" t="s">
        <v>22</v>
      </c>
      <c r="B24" s="1">
        <v>1120.6300000000001</v>
      </c>
      <c r="C24">
        <v>961.96</v>
      </c>
      <c r="D24" s="1">
        <v>1228.81</v>
      </c>
      <c r="E24" s="1">
        <v>2023.92</v>
      </c>
      <c r="F24" s="1">
        <v>2463.94</v>
      </c>
      <c r="G24" s="1">
        <v>3688.85</v>
      </c>
      <c r="H24" s="1">
        <v>4405</v>
      </c>
      <c r="I24" s="1">
        <v>5474.69</v>
      </c>
      <c r="J24" s="1">
        <v>5430.73</v>
      </c>
      <c r="K24" s="1">
        <v>5846.08</v>
      </c>
    </row>
    <row r="25" spans="1:11" x14ac:dyDescent="0.4">
      <c r="A25" t="s">
        <v>23</v>
      </c>
      <c r="B25">
        <v>436.8</v>
      </c>
      <c r="C25">
        <v>485.37</v>
      </c>
      <c r="D25">
        <v>845.01</v>
      </c>
      <c r="E25">
        <v>516.17999999999995</v>
      </c>
      <c r="F25">
        <v>616.29999999999995</v>
      </c>
      <c r="G25">
        <v>612.19000000000005</v>
      </c>
      <c r="H25">
        <v>772.3</v>
      </c>
      <c r="I25">
        <v>893.77</v>
      </c>
      <c r="J25">
        <v>994.53</v>
      </c>
      <c r="K25" s="1">
        <v>1321.54</v>
      </c>
    </row>
    <row r="26" spans="1:11" x14ac:dyDescent="0.4">
      <c r="A26" t="s">
        <v>24</v>
      </c>
      <c r="B26">
        <v>402.19</v>
      </c>
      <c r="C26">
        <v>431.36</v>
      </c>
      <c r="D26">
        <v>617.04999999999995</v>
      </c>
      <c r="E26">
        <v>821.17</v>
      </c>
      <c r="F26">
        <v>867.31</v>
      </c>
      <c r="G26">
        <v>936.2</v>
      </c>
      <c r="H26" s="1">
        <v>1358.1</v>
      </c>
      <c r="I26" s="1">
        <v>1459.41</v>
      </c>
      <c r="J26">
        <v>912.33</v>
      </c>
      <c r="K26" s="1">
        <v>1063.82</v>
      </c>
    </row>
    <row r="27" spans="1:11" x14ac:dyDescent="0.4">
      <c r="A27" t="s">
        <v>25</v>
      </c>
      <c r="B27">
        <v>472.84</v>
      </c>
      <c r="C27">
        <v>491.6</v>
      </c>
      <c r="D27">
        <v>698.38</v>
      </c>
      <c r="E27">
        <v>814.44</v>
      </c>
      <c r="F27">
        <v>814.69</v>
      </c>
      <c r="G27" s="1">
        <v>1021.16</v>
      </c>
      <c r="H27" s="1">
        <v>1019.1</v>
      </c>
      <c r="I27" s="1">
        <v>1813.6</v>
      </c>
      <c r="J27" s="1">
        <v>2208.71</v>
      </c>
      <c r="K27" s="1">
        <v>2906.49</v>
      </c>
    </row>
    <row r="28" spans="1:11" x14ac:dyDescent="0.4">
      <c r="A28" t="s">
        <v>26</v>
      </c>
      <c r="B28">
        <v>390.42</v>
      </c>
      <c r="C28">
        <v>553.80999999999995</v>
      </c>
      <c r="D28">
        <v>376.3</v>
      </c>
      <c r="E28">
        <v>777.78</v>
      </c>
      <c r="F28">
        <v>784.82</v>
      </c>
      <c r="G28">
        <v>788.44</v>
      </c>
      <c r="H28">
        <v>815.7</v>
      </c>
      <c r="I28">
        <v>876.44</v>
      </c>
      <c r="J28" s="1">
        <v>1136.19</v>
      </c>
      <c r="K28" s="1">
        <v>1039.55</v>
      </c>
    </row>
    <row r="29" spans="1:11" x14ac:dyDescent="0.4">
      <c r="A29" t="s">
        <v>27</v>
      </c>
      <c r="B29">
        <v>49.39</v>
      </c>
      <c r="C29">
        <v>91.04</v>
      </c>
      <c r="D29">
        <v>449.44</v>
      </c>
      <c r="E29">
        <v>153.63</v>
      </c>
      <c r="F29">
        <v>169.09</v>
      </c>
      <c r="G29">
        <v>219.03</v>
      </c>
      <c r="H29">
        <v>197.4</v>
      </c>
      <c r="I29">
        <v>275.77999999999997</v>
      </c>
      <c r="J29">
        <v>315.77999999999997</v>
      </c>
      <c r="K29">
        <v>353.31</v>
      </c>
    </row>
    <row r="30" spans="1:11" x14ac:dyDescent="0.4">
      <c r="A30" t="s">
        <v>28</v>
      </c>
      <c r="B30">
        <v>84.04</v>
      </c>
      <c r="C30">
        <v>79.28</v>
      </c>
      <c r="D30">
        <v>117.69</v>
      </c>
      <c r="E30">
        <v>185.25</v>
      </c>
      <c r="F30">
        <v>217.64</v>
      </c>
      <c r="G30">
        <v>171.78</v>
      </c>
      <c r="H30">
        <v>193.8</v>
      </c>
      <c r="I30">
        <v>236.07</v>
      </c>
      <c r="J30">
        <v>341.55</v>
      </c>
      <c r="K30">
        <v>482.91</v>
      </c>
    </row>
    <row r="31" spans="1:11" x14ac:dyDescent="0.4">
      <c r="A31" t="s">
        <v>29</v>
      </c>
      <c r="B31">
        <v>386.41</v>
      </c>
      <c r="C31">
        <v>562.21</v>
      </c>
      <c r="D31">
        <v>272.62</v>
      </c>
      <c r="E31">
        <v>300.11</v>
      </c>
      <c r="F31">
        <v>580.91</v>
      </c>
      <c r="G31">
        <v>764.86</v>
      </c>
      <c r="H31">
        <v>722.7</v>
      </c>
      <c r="I31">
        <v>871.45</v>
      </c>
      <c r="J31" s="1">
        <v>1432.31</v>
      </c>
      <c r="K31" s="1">
        <v>2505.3200000000002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A9336D-3245-451F-BD27-94B8CB76F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炜翔 林</cp:lastModifiedBy>
  <dcterms:created xsi:type="dcterms:W3CDTF">2026-04-12T13:28:14Z</dcterms:created>
  <dcterms:modified xsi:type="dcterms:W3CDTF">2026-04-14T11:00:18Z</dcterms:modified>
</cp:coreProperties>
</file>
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743\Documents\GitHub\tjjmlinxieli\原始数据\新质生产力测度指标\"/>
    </mc:Choice>
  </mc:AlternateContent>
  <xr:revisionPtr revIDLastSave="0" documentId="13_ncr:1_{3DA56528-FC59-45F5-AB08-D0F29DE7DAC3}" xr6:coauthVersionLast="47" xr6:coauthVersionMax="47" xr10:uidLastSave="{00000000-0000-0000-0000-000000000000}"/>
  <bookViews>
    <workbookView xWindow="-98" yWindow="-98" windowWidth="24196" windowHeight="15196" xr2:uid="{D095D636-7FB8-4868-AA89-C4014A98104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1AED6-130F-4653-9FDE-FC8BEDA5B6B3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<sst xmlns="http://schemas.openxmlformats.org/spreadsheetml/2006/main" count="682" uniqueCount="52">
  <si>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</si>
  <si>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</si>
  <si>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</si>
  <si>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</si>
  <si>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</si>
  <si>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</si>
  <si>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</si>
  <si>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</si>
  <si>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</si>
  <si>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</si>
  <si>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</si>
  <si>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</si>
  <si>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</si>
  <si>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</si>
  <si>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</si>
  <si>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</si>
  <si>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</si>
  <si>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</si>
  <si>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</si>
  <si>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</si>
  <si>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</si>
  <si>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</si>
  <si>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</si>
  <si>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</si>
  <si>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</si>
  <si>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</si>
  <si>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</si>
  <si>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</si>
  <si>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</si>
  <si>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</si>
  <si>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</si>
  <si>
    <t>地区</t>
  </si>
  <si>
    <t>地区</t>
    <phoneticPr fontId="1" type="noConversion"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</si>
  <si>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</si>
  <si>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</si>
  <si>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</si>
  <si>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</si>
  <si>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</si>
  <si>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</si>
  <si>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</si>
  <si>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</si>
  <si>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</si>
  <si>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</si>
  <si>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</si>
  <si>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</si>
  <si>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</si>
  <si>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规模以上工业企业研究与实验发展R&amp;D活动及有效发明专利数（件）</t>
    <phoneticPr fontId="1" type="noConversion"/>
  </si>
  <si>
    <t>年份</t>
    <phoneticPr fontId="1" type="noConversion"/>
  </si>
  <si>
    <t>行政区划</t>
    <phoneticPr fontId="1" type="noConversion"/>
  </si>
  <si>
    <t>id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</si>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</sst>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CC3FD1-48AE-40A2-8BF8-3688F0BBD57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9EFA4-D955-4A41-BBD0-B2F25201E2CE}" name="表1_" displayName="表1_" ref="A1:E301" tableType="queryTable" totalsRowShown="0">
  <autoFilter ref="A1:E301" xr:uid="{BD29EFA4-D955-4A41-BBD0-B2F25201E2CE}"/>
  <tableColumns count="5">
    <tableColumn id="1" xr3:uid="{2A650720-E430-425D-9BEC-EC33D49293B5}" uniqueName="1" name="地区" queryTableFieldId="1"/>
    <tableColumn id="2" xr3:uid="{BC8C066F-99A3-462E-96FB-BF860C29444B}" uniqueName="2" name="年份" queryTableFieldId="2"/>
    <tableColumn id="3" xr3:uid="{3248785E-74AD-43E1-90A9-481664817C4B}" uniqueName="3" name="规模以上工业企业研究与实验发展R&amp;D活动及有效发明专利数（件）" queryTableFieldId="3" dataDxfId="2"/>
    <tableColumn id="4" xr3:uid="{0102BADD-2809-468F-9282-C6E12F9A5224}" uniqueName="4" name="行政区划" queryTableFieldId="4" dataDxfId="1">
      <calculatedColumnFormula>VLOOKUP(表1_[[#This Row],[地区]],Sheet2!A:B,2,0)</calculatedColumnFormula>
    </tableColumn>
    <tableColumn id="5" xr3:uid="{2C03C52D-C829-4128-AC68-657694A527C7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C2CFD-FCB4-4135-B428-1782DB1D6E47}" name="表1" displayName="表1" ref="A1:N32" totalsRowShown="0" headerRowDxfId="3">
  <autoFilter ref="A1:N32" xr:uid="{633C2CFD-FCB4-4135-B428-1782DB1D6E47}"/>
  <tableColumns count="14">
    <tableColumn id="1" xr3:uid="{E55F35C2-10FB-4132-8556-D7A8A17A0FF5}" name="地区"/>
    <tableColumn id="2" xr3:uid="{2CB0D9A7-F7D7-4D7D-BE9A-9AB3311B8039}" name="2012" dataDxfId="16"/>
    <tableColumn id="3" xr3:uid="{3B36467D-9015-4E21-8112-CB7BBC235522}" name="2013" dataDxfId="15"/>
    <tableColumn id="4" xr3:uid="{87129193-CF89-4548-803E-471285640FD8}" name="2014" dataDxfId="14"/>
    <tableColumn id="5" xr3:uid="{709A60A3-276C-439D-95DB-D5ABA075131F}" name="2015" dataDxfId="13"/>
    <tableColumn id="6" xr3:uid="{8869B3F5-05D7-47AD-AD39-A31E5810DED4}" name="2016" dataDxfId="12"/>
    <tableColumn id="7" xr3:uid="{2E6BCDEC-F96C-4D07-8633-D00E66F6C811}" name="2017" dataDxfId="11"/>
    <tableColumn id="8" xr3:uid="{96E3F6A7-28A4-495F-97F6-7F7193F90736}" name="2018" dataDxfId="10"/>
    <tableColumn id="9" xr3:uid="{CBF1B5E1-372F-4F81-B43C-0219CE22C0C6}" name="2019" dataDxfId="9"/>
    <tableColumn id="10" xr3:uid="{9F49BA9A-E0C9-4CC9-840C-0457B66F0C03}" name="2020" dataDxfId="8"/>
    <tableColumn id="11" xr3:uid="{9F1A9988-F557-415A-A899-BFA11BB7AE47}" name="2021" dataDxfId="7"/>
    <tableColumn id="12" xr3:uid="{8E1C69AB-1164-4D18-8409-3CAF816B09F4}" name="2022" dataDxfId="6"/>
    <tableColumn id="13" xr3:uid="{E1D397DD-6B84-44F9-8B10-FA71C22793D9}" name="2023" dataDxfId="5"/>
    <tableColumn id="14" xr3:uid="{0ABF0C2A-6DA3-447D-9605-17B6801947EB}" name="2024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387D-466C-4046-93C0-EEF704F4B184}">
  <dimension ref="A1:E301"/>
  <sheetViews>
    <sheetView tabSelected="1" topLeftCell="A214" workbookViewId="0">
      <selection activeCell="G13" sqref="G13"/>
    </sheetView>
  </sheetViews>
  <sheetFormatPr defaultRowHeight="13.9" x14ac:dyDescent="0.4"/>
  <cols>
    <col min="1" max="2" width="7.1328125" bestFit="1" customWidth="1"/>
    <col min="3" max="3" width="58.86328125" style="3" customWidth="1"/>
    <col min="4" max="4" width="12.265625" customWidth="1"/>
  </cols>
  <sheetData>
    <row r="1" spans="1:5" x14ac:dyDescent="0.4">
      <c r="A1" t="s">
        <v>31</v>
      </c>
      <c r="B1" t="s">
        <v>47</v>
      </c>
      <c r="C1" s="3" t="s">
        <v>46</v>
      </c>
      <c r="D1" t="s">
        <v>48</v>
      </c>
      <c r="E1" t="s">
        <v>49</v>
      </c>
    </row>
    <row r="2" spans="1:5" x14ac:dyDescent="0.4">
      <c r="A2" t="s">
        <v>0</v>
      </c>
      <c r="B2" t="s">
        <v>35</v>
      </c>
      <c r="C2" s="3">
        <v>18721</v>
      </c>
      <c r="D2">
        <f>VLOOKUP(表1_[[#This Row],[地区]],Sheet2!A:B,2,0)</f>
        <v>110000</v>
      </c>
      <c r="E2">
        <f>表1_[[#This Row],[年份]]+表1_[[#This Row],[行政区划]]</f>
        <v>112014</v>
      </c>
    </row>
    <row r="3" spans="1:5" x14ac:dyDescent="0.4">
      <c r="A3" t="s">
        <v>0</v>
      </c>
      <c r="B3" t="s">
        <v>36</v>
      </c>
      <c r="C3" s="3">
        <v>23749</v>
      </c>
      <c r="D3">
        <f>VLOOKUP(表1_[[#This Row],[地区]],Sheet2!A:B,2,0)</f>
        <v>110000</v>
      </c>
      <c r="E3">
        <f>表1_[[#This Row],[年份]]+表1_[[#This Row],[行政区划]]</f>
        <v>112015</v>
      </c>
    </row>
    <row r="4" spans="1:5" x14ac:dyDescent="0.4">
      <c r="A4" t="s">
        <v>0</v>
      </c>
      <c r="B4" t="s">
        <v>37</v>
      </c>
      <c r="C4" s="3">
        <v>28290</v>
      </c>
      <c r="D4">
        <f>VLOOKUP(表1_[[#This Row],[地区]],Sheet2!A:B,2,0)</f>
        <v>110000</v>
      </c>
      <c r="E4">
        <f>表1_[[#This Row],[年份]]+表1_[[#This Row],[行政区划]]</f>
        <v>112016</v>
      </c>
    </row>
    <row r="5" spans="1:5" x14ac:dyDescent="0.4">
      <c r="A5" t="s">
        <v>0</v>
      </c>
      <c r="B5" t="s">
        <v>38</v>
      </c>
      <c r="C5" s="3">
        <v>34497</v>
      </c>
      <c r="D5">
        <f>VLOOKUP(表1_[[#This Row],[地区]],Sheet2!A:B,2,0)</f>
        <v>110000</v>
      </c>
      <c r="E5">
        <f>表1_[[#This Row],[年份]]+表1_[[#This Row],[行政区划]]</f>
        <v>112017</v>
      </c>
    </row>
    <row r="6" spans="1:5" x14ac:dyDescent="0.4">
      <c r="A6" t="s">
        <v>0</v>
      </c>
      <c r="B6" t="s">
        <v>39</v>
      </c>
      <c r="C6" s="3">
        <v>42851</v>
      </c>
      <c r="D6">
        <f>VLOOKUP(表1_[[#This Row],[地区]],Sheet2!A:B,2,0)</f>
        <v>110000</v>
      </c>
      <c r="E6">
        <f>表1_[[#This Row],[年份]]+表1_[[#This Row],[行政区划]]</f>
        <v>112018</v>
      </c>
    </row>
    <row r="7" spans="1:5" x14ac:dyDescent="0.4">
      <c r="A7" t="s">
        <v>0</v>
      </c>
      <c r="B7" t="s">
        <v>40</v>
      </c>
      <c r="C7" s="3">
        <v>48656</v>
      </c>
      <c r="D7">
        <f>VLOOKUP(表1_[[#This Row],[地区]],Sheet2!A:B,2,0)</f>
        <v>110000</v>
      </c>
      <c r="E7">
        <f>表1_[[#This Row],[年份]]+表1_[[#This Row],[行政区划]]</f>
        <v>112019</v>
      </c>
    </row>
    <row r="8" spans="1:5" x14ac:dyDescent="0.4">
      <c r="A8" t="s">
        <v>0</v>
      </c>
      <c r="B8" t="s">
        <v>41</v>
      </c>
      <c r="C8" s="3">
        <v>55261</v>
      </c>
      <c r="D8">
        <f>VLOOKUP(表1_[[#This Row],[地区]],Sheet2!A:B,2,0)</f>
        <v>110000</v>
      </c>
      <c r="E8">
        <f>表1_[[#This Row],[年份]]+表1_[[#This Row],[行政区划]]</f>
        <v>112020</v>
      </c>
    </row>
    <row r="9" spans="1:5" x14ac:dyDescent="0.4">
      <c r="A9" t="s">
        <v>0</v>
      </c>
      <c r="B9" t="s">
        <v>42</v>
      </c>
      <c r="C9" s="3">
        <v>70538</v>
      </c>
      <c r="D9">
        <f>VLOOKUP(表1_[[#This Row],[地区]],Sheet2!A:B,2,0)</f>
        <v>110000</v>
      </c>
      <c r="E9">
        <f>表1_[[#This Row],[年份]]+表1_[[#This Row],[行政区划]]</f>
        <v>112021</v>
      </c>
    </row>
    <row r="10" spans="1:5" x14ac:dyDescent="0.4">
      <c r="A10" t="s">
        <v>0</v>
      </c>
      <c r="B10" t="s">
        <v>43</v>
      </c>
      <c r="C10" s="3">
        <v>77167</v>
      </c>
      <c r="D10">
        <f>VLOOKUP(表1_[[#This Row],[地区]],Sheet2!A:B,2,0)</f>
        <v>110000</v>
      </c>
      <c r="E10">
        <f>表1_[[#This Row],[年份]]+表1_[[#This Row],[行政区划]]</f>
        <v>112022</v>
      </c>
    </row>
    <row r="11" spans="1:5" x14ac:dyDescent="0.4">
      <c r="A11" t="s">
        <v>0</v>
      </c>
      <c r="B11" t="s">
        <v>44</v>
      </c>
      <c r="C11" s="3">
        <v>80347</v>
      </c>
      <c r="D11">
        <f>VLOOKUP(表1_[[#This Row],[地区]],Sheet2!A:B,2,0)</f>
        <v>110000</v>
      </c>
      <c r="E11">
        <f>表1_[[#This Row],[年份]]+表1_[[#This Row],[行政区划]]</f>
        <v>112023</v>
      </c>
    </row>
    <row r="12" spans="1:5" x14ac:dyDescent="0.4">
      <c r="A12" t="s">
        <v>1</v>
      </c>
      <c r="B12" t="s">
        <v>35</v>
      </c>
      <c r="C12" s="3">
        <v>12263</v>
      </c>
      <c r="D12">
        <f>VLOOKUP(表1_[[#This Row],[地区]],Sheet2!A:B,2,0)</f>
        <v>120000</v>
      </c>
      <c r="E12">
        <f>表1_[[#This Row],[年份]]+表1_[[#This Row],[行政区划]]</f>
        <v>122014</v>
      </c>
    </row>
    <row r="13" spans="1:5" x14ac:dyDescent="0.4">
      <c r="A13" t="s">
        <v>1</v>
      </c>
      <c r="B13" t="s">
        <v>36</v>
      </c>
      <c r="C13" s="3">
        <v>17422</v>
      </c>
      <c r="D13">
        <f>VLOOKUP(表1_[[#This Row],[地区]],Sheet2!A:B,2,0)</f>
        <v>120000</v>
      </c>
      <c r="E13">
        <f>表1_[[#This Row],[年份]]+表1_[[#This Row],[行政区划]]</f>
        <v>122015</v>
      </c>
    </row>
    <row r="14" spans="1:5" x14ac:dyDescent="0.4">
      <c r="A14" t="s">
        <v>1</v>
      </c>
      <c r="B14" t="s">
        <v>37</v>
      </c>
      <c r="C14" s="3">
        <v>22021</v>
      </c>
      <c r="D14">
        <f>VLOOKUP(表1_[[#This Row],[地区]],Sheet2!A:B,2,0)</f>
        <v>120000</v>
      </c>
      <c r="E14">
        <f>表1_[[#This Row],[年份]]+表1_[[#This Row],[行政区划]]</f>
        <v>122016</v>
      </c>
    </row>
    <row r="15" spans="1:5" x14ac:dyDescent="0.4">
      <c r="A15" t="s">
        <v>1</v>
      </c>
      <c r="B15" t="s">
        <v>38</v>
      </c>
      <c r="C15" s="3">
        <v>22346</v>
      </c>
      <c r="D15">
        <f>VLOOKUP(表1_[[#This Row],[地区]],Sheet2!A:B,2,0)</f>
        <v>120000</v>
      </c>
      <c r="E15">
        <f>表1_[[#This Row],[年份]]+表1_[[#This Row],[行政区划]]</f>
        <v>122017</v>
      </c>
    </row>
    <row r="16" spans="1:5" x14ac:dyDescent="0.4">
      <c r="A16" t="s">
        <v>1</v>
      </c>
      <c r="B16" t="s">
        <v>39</v>
      </c>
      <c r="C16" s="3">
        <v>23407</v>
      </c>
      <c r="D16">
        <f>VLOOKUP(表1_[[#This Row],[地区]],Sheet2!A:B,2,0)</f>
        <v>120000</v>
      </c>
      <c r="E16">
        <f>表1_[[#This Row],[年份]]+表1_[[#This Row],[行政区划]]</f>
        <v>122018</v>
      </c>
    </row>
    <row r="17" spans="1:5" x14ac:dyDescent="0.4">
      <c r="A17" t="s">
        <v>1</v>
      </c>
      <c r="B17" t="s">
        <v>40</v>
      </c>
      <c r="C17" s="3">
        <v>20856</v>
      </c>
      <c r="D17">
        <f>VLOOKUP(表1_[[#This Row],[地区]],Sheet2!A:B,2,0)</f>
        <v>120000</v>
      </c>
      <c r="E17">
        <f>表1_[[#This Row],[年份]]+表1_[[#This Row],[行政区划]]</f>
        <v>122019</v>
      </c>
    </row>
    <row r="18" spans="1:5" x14ac:dyDescent="0.4">
      <c r="A18" t="s">
        <v>1</v>
      </c>
      <c r="B18" t="s">
        <v>41</v>
      </c>
      <c r="C18" s="3">
        <v>24945</v>
      </c>
      <c r="D18">
        <f>VLOOKUP(表1_[[#This Row],[地区]],Sheet2!A:B,2,0)</f>
        <v>120000</v>
      </c>
      <c r="E18">
        <f>表1_[[#This Row],[年份]]+表1_[[#This Row],[行政区划]]</f>
        <v>122020</v>
      </c>
    </row>
    <row r="19" spans="1:5" x14ac:dyDescent="0.4">
      <c r="A19" t="s">
        <v>1</v>
      </c>
      <c r="B19" t="s">
        <v>42</v>
      </c>
      <c r="C19" s="3">
        <v>26326</v>
      </c>
      <c r="D19">
        <f>VLOOKUP(表1_[[#This Row],[地区]],Sheet2!A:B,2,0)</f>
        <v>120000</v>
      </c>
      <c r="E19">
        <f>表1_[[#This Row],[年份]]+表1_[[#This Row],[行政区划]]</f>
        <v>122021</v>
      </c>
    </row>
    <row r="20" spans="1:5" x14ac:dyDescent="0.4">
      <c r="A20" t="s">
        <v>1</v>
      </c>
      <c r="B20" t="s">
        <v>43</v>
      </c>
      <c r="C20" s="3">
        <v>28517</v>
      </c>
      <c r="D20">
        <f>VLOOKUP(表1_[[#This Row],[地区]],Sheet2!A:B,2,0)</f>
        <v>120000</v>
      </c>
      <c r="E20">
        <f>表1_[[#This Row],[年份]]+表1_[[#This Row],[行政区划]]</f>
        <v>122022</v>
      </c>
    </row>
    <row r="21" spans="1:5" x14ac:dyDescent="0.4">
      <c r="A21" t="s">
        <v>1</v>
      </c>
      <c r="B21" t="s">
        <v>44</v>
      </c>
      <c r="C21" s="3">
        <v>30392</v>
      </c>
      <c r="D21">
        <f>VLOOKUP(表1_[[#This Row],[地区]],Sheet2!A:B,2,0)</f>
        <v>120000</v>
      </c>
      <c r="E21">
        <f>表1_[[#This Row],[年份]]+表1_[[#This Row],[行政区划]]</f>
        <v>122023</v>
      </c>
    </row>
    <row r="22" spans="1:5" x14ac:dyDescent="0.4">
      <c r="A22" t="s">
        <v>2</v>
      </c>
      <c r="B22" t="s">
        <v>35</v>
      </c>
      <c r="C22" s="3">
        <v>4999</v>
      </c>
      <c r="D22">
        <f>VLOOKUP(表1_[[#This Row],[地区]],Sheet2!A:B,2,0)</f>
        <v>130000</v>
      </c>
      <c r="E22">
        <f>表1_[[#This Row],[年份]]+表1_[[#This Row],[行政区划]]</f>
        <v>132014</v>
      </c>
    </row>
    <row r="23" spans="1:5" x14ac:dyDescent="0.4">
      <c r="A23" t="s">
        <v>2</v>
      </c>
      <c r="B23" t="s">
        <v>36</v>
      </c>
      <c r="C23" s="3">
        <v>7740</v>
      </c>
      <c r="D23">
        <f>VLOOKUP(表1_[[#This Row],[地区]],Sheet2!A:B,2,0)</f>
        <v>130000</v>
      </c>
      <c r="E23">
        <f>表1_[[#This Row],[年份]]+表1_[[#This Row],[行政区划]]</f>
        <v>132015</v>
      </c>
    </row>
    <row r="24" spans="1:5" x14ac:dyDescent="0.4">
      <c r="A24" t="s">
        <v>2</v>
      </c>
      <c r="B24" t="s">
        <v>37</v>
      </c>
      <c r="C24" s="3">
        <v>13074</v>
      </c>
      <c r="D24">
        <f>VLOOKUP(表1_[[#This Row],[地区]],Sheet2!A:B,2,0)</f>
        <v>130000</v>
      </c>
      <c r="E24">
        <f>表1_[[#This Row],[年份]]+表1_[[#This Row],[行政区划]]</f>
        <v>132016</v>
      </c>
    </row>
    <row r="25" spans="1:5" x14ac:dyDescent="0.4">
      <c r="A25" t="s">
        <v>2</v>
      </c>
      <c r="B25" t="s">
        <v>38</v>
      </c>
      <c r="C25" s="3">
        <v>14750</v>
      </c>
      <c r="D25">
        <f>VLOOKUP(表1_[[#This Row],[地区]],Sheet2!A:B,2,0)</f>
        <v>130000</v>
      </c>
      <c r="E25">
        <f>表1_[[#This Row],[年份]]+表1_[[#This Row],[行政区划]]</f>
        <v>132017</v>
      </c>
    </row>
    <row r="26" spans="1:5" x14ac:dyDescent="0.4">
      <c r="A26" t="s">
        <v>2</v>
      </c>
      <c r="B26" t="s">
        <v>39</v>
      </c>
      <c r="C26" s="3">
        <v>18762</v>
      </c>
      <c r="D26">
        <f>VLOOKUP(表1_[[#This Row],[地区]],Sheet2!A:B,2,0)</f>
        <v>130000</v>
      </c>
      <c r="E26">
        <f>表1_[[#This Row],[年份]]+表1_[[#This Row],[行政区划]]</f>
        <v>132018</v>
      </c>
    </row>
    <row r="27" spans="1:5" x14ac:dyDescent="0.4">
      <c r="A27" t="s">
        <v>2</v>
      </c>
      <c r="B27" t="s">
        <v>40</v>
      </c>
      <c r="C27" s="3">
        <v>21487</v>
      </c>
      <c r="D27">
        <f>VLOOKUP(表1_[[#This Row],[地区]],Sheet2!A:B,2,0)</f>
        <v>130000</v>
      </c>
      <c r="E27">
        <f>表1_[[#This Row],[年份]]+表1_[[#This Row],[行政区划]]</f>
        <v>132019</v>
      </c>
    </row>
    <row r="28" spans="1:5" x14ac:dyDescent="0.4">
      <c r="A28" t="s">
        <v>2</v>
      </c>
      <c r="B28" t="s">
        <v>41</v>
      </c>
      <c r="C28" s="3">
        <v>28135</v>
      </c>
      <c r="D28">
        <f>VLOOKUP(表1_[[#This Row],[地区]],Sheet2!A:B,2,0)</f>
        <v>130000</v>
      </c>
      <c r="E28">
        <f>表1_[[#This Row],[年份]]+表1_[[#This Row],[行政区划]]</f>
        <v>132020</v>
      </c>
    </row>
    <row r="29" spans="1:5" x14ac:dyDescent="0.4">
      <c r="A29" t="s">
        <v>2</v>
      </c>
      <c r="B29" t="s">
        <v>42</v>
      </c>
      <c r="C29" s="3">
        <v>34240</v>
      </c>
      <c r="D29">
        <f>VLOOKUP(表1_[[#This Row],[地区]],Sheet2!A:B,2,0)</f>
        <v>130000</v>
      </c>
      <c r="E29">
        <f>表1_[[#This Row],[年份]]+表1_[[#This Row],[行政区划]]</f>
        <v>132021</v>
      </c>
    </row>
    <row r="30" spans="1:5" x14ac:dyDescent="0.4">
      <c r="A30" t="s">
        <v>2</v>
      </c>
      <c r="B30" t="s">
        <v>43</v>
      </c>
      <c r="C30" s="3">
        <v>38203</v>
      </c>
      <c r="D30">
        <f>VLOOKUP(表1_[[#This Row],[地区]],Sheet2!A:B,2,0)</f>
        <v>130000</v>
      </c>
      <c r="E30">
        <f>表1_[[#This Row],[年份]]+表1_[[#This Row],[行政区划]]</f>
        <v>132022</v>
      </c>
    </row>
    <row r="31" spans="1:5" x14ac:dyDescent="0.4">
      <c r="A31" t="s">
        <v>2</v>
      </c>
      <c r="B31" t="s">
        <v>44</v>
      </c>
      <c r="C31" s="3">
        <v>44210</v>
      </c>
      <c r="D31">
        <f>VLOOKUP(表1_[[#This Row],[地区]],Sheet2!A:B,2,0)</f>
        <v>130000</v>
      </c>
      <c r="E31">
        <f>表1_[[#This Row],[年份]]+表1_[[#This Row],[行政区划]]</f>
        <v>132023</v>
      </c>
    </row>
    <row r="32" spans="1:5" x14ac:dyDescent="0.4">
      <c r="A32" t="s">
        <v>3</v>
      </c>
      <c r="B32" t="s">
        <v>35</v>
      </c>
      <c r="C32" s="3">
        <v>3505</v>
      </c>
      <c r="D32">
        <f>VLOOKUP(表1_[[#This Row],[地区]],Sheet2!A:B,2,0)</f>
        <v>140000</v>
      </c>
      <c r="E32">
        <f>表1_[[#This Row],[年份]]+表1_[[#This Row],[行政区划]]</f>
        <v>142014</v>
      </c>
    </row>
    <row r="33" spans="1:5" x14ac:dyDescent="0.4">
      <c r="A33" t="s">
        <v>3</v>
      </c>
      <c r="B33" t="s">
        <v>36</v>
      </c>
      <c r="C33" s="3">
        <v>4468</v>
      </c>
      <c r="D33">
        <f>VLOOKUP(表1_[[#This Row],[地区]],Sheet2!A:B,2,0)</f>
        <v>140000</v>
      </c>
      <c r="E33">
        <f>表1_[[#This Row],[年份]]+表1_[[#This Row],[行政区划]]</f>
        <v>142015</v>
      </c>
    </row>
    <row r="34" spans="1:5" x14ac:dyDescent="0.4">
      <c r="A34" t="s">
        <v>3</v>
      </c>
      <c r="B34" t="s">
        <v>37</v>
      </c>
      <c r="C34" s="3">
        <v>5350</v>
      </c>
      <c r="D34">
        <f>VLOOKUP(表1_[[#This Row],[地区]],Sheet2!A:B,2,0)</f>
        <v>140000</v>
      </c>
      <c r="E34">
        <f>表1_[[#This Row],[年份]]+表1_[[#This Row],[行政区划]]</f>
        <v>142016</v>
      </c>
    </row>
    <row r="35" spans="1:5" x14ac:dyDescent="0.4">
      <c r="A35" t="s">
        <v>3</v>
      </c>
      <c r="B35" t="s">
        <v>38</v>
      </c>
      <c r="C35" s="3">
        <v>6567</v>
      </c>
      <c r="D35">
        <f>VLOOKUP(表1_[[#This Row],[地区]],Sheet2!A:B,2,0)</f>
        <v>140000</v>
      </c>
      <c r="E35">
        <f>表1_[[#This Row],[年份]]+表1_[[#This Row],[行政区划]]</f>
        <v>142017</v>
      </c>
    </row>
    <row r="36" spans="1:5" x14ac:dyDescent="0.4">
      <c r="A36" t="s">
        <v>3</v>
      </c>
      <c r="B36" t="s">
        <v>39</v>
      </c>
      <c r="C36" s="3">
        <v>7917</v>
      </c>
      <c r="D36">
        <f>VLOOKUP(表1_[[#This Row],[地区]],Sheet2!A:B,2,0)</f>
        <v>140000</v>
      </c>
      <c r="E36">
        <f>表1_[[#This Row],[年份]]+表1_[[#This Row],[行政区划]]</f>
        <v>142018</v>
      </c>
    </row>
    <row r="37" spans="1:5" x14ac:dyDescent="0.4">
      <c r="A37" t="s">
        <v>3</v>
      </c>
      <c r="B37" t="s">
        <v>40</v>
      </c>
      <c r="C37" s="3">
        <v>8619</v>
      </c>
      <c r="D37">
        <f>VLOOKUP(表1_[[#This Row],[地区]],Sheet2!A:B,2,0)</f>
        <v>140000</v>
      </c>
      <c r="E37">
        <f>表1_[[#This Row],[年份]]+表1_[[#This Row],[行政区划]]</f>
        <v>142019</v>
      </c>
    </row>
    <row r="38" spans="1:5" x14ac:dyDescent="0.4">
      <c r="A38" t="s">
        <v>3</v>
      </c>
      <c r="B38" t="s">
        <v>41</v>
      </c>
      <c r="C38" s="3">
        <v>10218</v>
      </c>
      <c r="D38">
        <f>VLOOKUP(表1_[[#This Row],[地区]],Sheet2!A:B,2,0)</f>
        <v>140000</v>
      </c>
      <c r="E38">
        <f>表1_[[#This Row],[年份]]+表1_[[#This Row],[行政区划]]</f>
        <v>142020</v>
      </c>
    </row>
    <row r="39" spans="1:5" x14ac:dyDescent="0.4">
      <c r="A39" t="s">
        <v>3</v>
      </c>
      <c r="B39" t="s">
        <v>42</v>
      </c>
      <c r="C39" s="3">
        <v>12336</v>
      </c>
      <c r="D39">
        <f>VLOOKUP(表1_[[#This Row],[地区]],Sheet2!A:B,2,0)</f>
        <v>140000</v>
      </c>
      <c r="E39">
        <f>表1_[[#This Row],[年份]]+表1_[[#This Row],[行政区划]]</f>
        <v>142021</v>
      </c>
    </row>
    <row r="40" spans="1:5" x14ac:dyDescent="0.4">
      <c r="A40" t="s">
        <v>3</v>
      </c>
      <c r="B40" t="s">
        <v>43</v>
      </c>
      <c r="C40" s="3">
        <v>12861</v>
      </c>
      <c r="D40">
        <f>VLOOKUP(表1_[[#This Row],[地区]],Sheet2!A:B,2,0)</f>
        <v>140000</v>
      </c>
      <c r="E40">
        <f>表1_[[#This Row],[年份]]+表1_[[#This Row],[行政区划]]</f>
        <v>142022</v>
      </c>
    </row>
    <row r="41" spans="1:5" x14ac:dyDescent="0.4">
      <c r="A41" t="s">
        <v>3</v>
      </c>
      <c r="B41" t="s">
        <v>44</v>
      </c>
      <c r="C41" s="3">
        <v>13426</v>
      </c>
      <c r="D41">
        <f>VLOOKUP(表1_[[#This Row],[地区]],Sheet2!A:B,2,0)</f>
        <v>140000</v>
      </c>
      <c r="E41">
        <f>表1_[[#This Row],[年份]]+表1_[[#This Row],[行政区划]]</f>
        <v>142023</v>
      </c>
    </row>
    <row r="42" spans="1:5" x14ac:dyDescent="0.4">
      <c r="A42" t="s">
        <v>4</v>
      </c>
      <c r="B42" t="s">
        <v>35</v>
      </c>
      <c r="C42" s="3">
        <v>1660</v>
      </c>
      <c r="D42">
        <f>VLOOKUP(表1_[[#This Row],[地区]],Sheet2!A:B,2,0)</f>
        <v>150000</v>
      </c>
      <c r="E42">
        <f>表1_[[#This Row],[年份]]+表1_[[#This Row],[行政区划]]</f>
        <v>152014</v>
      </c>
    </row>
    <row r="43" spans="1:5" x14ac:dyDescent="0.4">
      <c r="A43" t="s">
        <v>4</v>
      </c>
      <c r="B43" t="s">
        <v>36</v>
      </c>
      <c r="C43" s="3">
        <v>2175</v>
      </c>
      <c r="D43">
        <f>VLOOKUP(表1_[[#This Row],[地区]],Sheet2!A:B,2,0)</f>
        <v>150000</v>
      </c>
      <c r="E43">
        <f>表1_[[#This Row],[年份]]+表1_[[#This Row],[行政区划]]</f>
        <v>152015</v>
      </c>
    </row>
    <row r="44" spans="1:5" x14ac:dyDescent="0.4">
      <c r="A44" t="s">
        <v>4</v>
      </c>
      <c r="B44" t="s">
        <v>37</v>
      </c>
      <c r="C44" s="3">
        <v>3103</v>
      </c>
      <c r="D44">
        <f>VLOOKUP(表1_[[#This Row],[地区]],Sheet2!A:B,2,0)</f>
        <v>150000</v>
      </c>
      <c r="E44">
        <f>表1_[[#This Row],[年份]]+表1_[[#This Row],[行政区划]]</f>
        <v>152016</v>
      </c>
    </row>
    <row r="45" spans="1:5" x14ac:dyDescent="0.4">
      <c r="A45" t="s">
        <v>4</v>
      </c>
      <c r="B45" t="s">
        <v>38</v>
      </c>
      <c r="C45" s="3">
        <v>3837</v>
      </c>
      <c r="D45">
        <f>VLOOKUP(表1_[[#This Row],[地区]],Sheet2!A:B,2,0)</f>
        <v>150000</v>
      </c>
      <c r="E45">
        <f>表1_[[#This Row],[年份]]+表1_[[#This Row],[行政区划]]</f>
        <v>152017</v>
      </c>
    </row>
    <row r="46" spans="1:5" x14ac:dyDescent="0.4">
      <c r="A46" t="s">
        <v>4</v>
      </c>
      <c r="B46" t="s">
        <v>39</v>
      </c>
      <c r="C46" s="3">
        <v>3909</v>
      </c>
      <c r="D46">
        <f>VLOOKUP(表1_[[#This Row],[地区]],Sheet2!A:B,2,0)</f>
        <v>150000</v>
      </c>
      <c r="E46">
        <f>表1_[[#This Row],[年份]]+表1_[[#This Row],[行政区划]]</f>
        <v>152018</v>
      </c>
    </row>
    <row r="47" spans="1:5" x14ac:dyDescent="0.4">
      <c r="A47" t="s">
        <v>4</v>
      </c>
      <c r="B47" t="s">
        <v>40</v>
      </c>
      <c r="C47" s="3">
        <v>5491</v>
      </c>
      <c r="D47">
        <f>VLOOKUP(表1_[[#This Row],[地区]],Sheet2!A:B,2,0)</f>
        <v>150000</v>
      </c>
      <c r="E47">
        <f>表1_[[#This Row],[年份]]+表1_[[#This Row],[行政区划]]</f>
        <v>152019</v>
      </c>
    </row>
    <row r="48" spans="1:5" x14ac:dyDescent="0.4">
      <c r="A48" t="s">
        <v>4</v>
      </c>
      <c r="B48" t="s">
        <v>41</v>
      </c>
      <c r="C48" s="3">
        <v>5799</v>
      </c>
      <c r="D48">
        <f>VLOOKUP(表1_[[#This Row],[地区]],Sheet2!A:B,2,0)</f>
        <v>150000</v>
      </c>
      <c r="E48">
        <f>表1_[[#This Row],[年份]]+表1_[[#This Row],[行政区划]]</f>
        <v>152020</v>
      </c>
    </row>
    <row r="49" spans="1:5" x14ac:dyDescent="0.4">
      <c r="A49" t="s">
        <v>4</v>
      </c>
      <c r="B49" t="s">
        <v>42</v>
      </c>
      <c r="C49" s="3">
        <v>6847</v>
      </c>
      <c r="D49">
        <f>VLOOKUP(表1_[[#This Row],[地区]],Sheet2!A:B,2,0)</f>
        <v>150000</v>
      </c>
      <c r="E49">
        <f>表1_[[#This Row],[年份]]+表1_[[#This Row],[行政区划]]</f>
        <v>152021</v>
      </c>
    </row>
    <row r="50" spans="1:5" x14ac:dyDescent="0.4">
      <c r="A50" t="s">
        <v>4</v>
      </c>
      <c r="B50" t="s">
        <v>43</v>
      </c>
      <c r="C50" s="3">
        <v>7911</v>
      </c>
      <c r="D50">
        <f>VLOOKUP(表1_[[#This Row],[地区]],Sheet2!A:B,2,0)</f>
        <v>150000</v>
      </c>
      <c r="E50">
        <f>表1_[[#This Row],[年份]]+表1_[[#This Row],[行政区划]]</f>
        <v>152022</v>
      </c>
    </row>
    <row r="51" spans="1:5" x14ac:dyDescent="0.4">
      <c r="A51" t="s">
        <v>4</v>
      </c>
      <c r="B51" t="s">
        <v>44</v>
      </c>
      <c r="C51" s="3">
        <v>9468</v>
      </c>
      <c r="D51">
        <f>VLOOKUP(表1_[[#This Row],[地区]],Sheet2!A:B,2,0)</f>
        <v>150000</v>
      </c>
      <c r="E51">
        <f>表1_[[#This Row],[年份]]+表1_[[#This Row],[行政区划]]</f>
        <v>152023</v>
      </c>
    </row>
    <row r="52" spans="1:5" x14ac:dyDescent="0.4">
      <c r="A52" t="s">
        <v>5</v>
      </c>
      <c r="B52" t="s">
        <v>35</v>
      </c>
      <c r="C52" s="3">
        <v>9055</v>
      </c>
      <c r="D52">
        <f>VLOOKUP(表1_[[#This Row],[地区]],Sheet2!A:B,2,0)</f>
        <v>210000</v>
      </c>
      <c r="E52">
        <f>表1_[[#This Row],[年份]]+表1_[[#This Row],[行政区划]]</f>
        <v>212014</v>
      </c>
    </row>
    <row r="53" spans="1:5" x14ac:dyDescent="0.4">
      <c r="A53" t="s">
        <v>5</v>
      </c>
      <c r="B53" t="s">
        <v>36</v>
      </c>
      <c r="C53" s="3">
        <v>10372</v>
      </c>
      <c r="D53">
        <f>VLOOKUP(表1_[[#This Row],[地区]],Sheet2!A:B,2,0)</f>
        <v>210000</v>
      </c>
      <c r="E53">
        <f>表1_[[#This Row],[年份]]+表1_[[#This Row],[行政区划]]</f>
        <v>212015</v>
      </c>
    </row>
    <row r="54" spans="1:5" x14ac:dyDescent="0.4">
      <c r="A54" t="s">
        <v>5</v>
      </c>
      <c r="B54" t="s">
        <v>37</v>
      </c>
      <c r="C54" s="3">
        <v>14188</v>
      </c>
      <c r="D54">
        <f>VLOOKUP(表1_[[#This Row],[地区]],Sheet2!A:B,2,0)</f>
        <v>210000</v>
      </c>
      <c r="E54">
        <f>表1_[[#This Row],[年份]]+表1_[[#This Row],[行政区划]]</f>
        <v>212016</v>
      </c>
    </row>
    <row r="55" spans="1:5" x14ac:dyDescent="0.4">
      <c r="A55" t="s">
        <v>5</v>
      </c>
      <c r="B55" t="s">
        <v>38</v>
      </c>
      <c r="C55" s="3">
        <v>19028</v>
      </c>
      <c r="D55">
        <f>VLOOKUP(表1_[[#This Row],[地区]],Sheet2!A:B,2,0)</f>
        <v>210000</v>
      </c>
      <c r="E55">
        <f>表1_[[#This Row],[年份]]+表1_[[#This Row],[行政区划]]</f>
        <v>212017</v>
      </c>
    </row>
    <row r="56" spans="1:5" x14ac:dyDescent="0.4">
      <c r="A56" t="s">
        <v>5</v>
      </c>
      <c r="B56" t="s">
        <v>39</v>
      </c>
      <c r="C56" s="3">
        <v>21089</v>
      </c>
      <c r="D56">
        <f>VLOOKUP(表1_[[#This Row],[地区]],Sheet2!A:B,2,0)</f>
        <v>210000</v>
      </c>
      <c r="E56">
        <f>表1_[[#This Row],[年份]]+表1_[[#This Row],[行政区划]]</f>
        <v>212018</v>
      </c>
    </row>
    <row r="57" spans="1:5" x14ac:dyDescent="0.4">
      <c r="A57" t="s">
        <v>5</v>
      </c>
      <c r="B57" t="s">
        <v>40</v>
      </c>
      <c r="C57" s="3">
        <v>22848</v>
      </c>
      <c r="D57">
        <f>VLOOKUP(表1_[[#This Row],[地区]],Sheet2!A:B,2,0)</f>
        <v>210000</v>
      </c>
      <c r="E57">
        <f>表1_[[#This Row],[年份]]+表1_[[#This Row],[行政区划]]</f>
        <v>212019</v>
      </c>
    </row>
    <row r="58" spans="1:5" x14ac:dyDescent="0.4">
      <c r="A58" t="s">
        <v>5</v>
      </c>
      <c r="B58" t="s">
        <v>41</v>
      </c>
      <c r="C58" s="3">
        <v>28788</v>
      </c>
      <c r="D58">
        <f>VLOOKUP(表1_[[#This Row],[地区]],Sheet2!A:B,2,0)</f>
        <v>210000</v>
      </c>
      <c r="E58">
        <f>表1_[[#This Row],[年份]]+表1_[[#This Row],[行政区划]]</f>
        <v>212020</v>
      </c>
    </row>
    <row r="59" spans="1:5" x14ac:dyDescent="0.4">
      <c r="A59" t="s">
        <v>5</v>
      </c>
      <c r="B59" t="s">
        <v>42</v>
      </c>
      <c r="C59" s="3">
        <v>31740</v>
      </c>
      <c r="D59">
        <f>VLOOKUP(表1_[[#This Row],[地区]],Sheet2!A:B,2,0)</f>
        <v>210000</v>
      </c>
      <c r="E59">
        <f>表1_[[#This Row],[年份]]+表1_[[#This Row],[行政区划]]</f>
        <v>212021</v>
      </c>
    </row>
    <row r="60" spans="1:5" x14ac:dyDescent="0.4">
      <c r="A60" t="s">
        <v>5</v>
      </c>
      <c r="B60" t="s">
        <v>43</v>
      </c>
      <c r="C60" s="3">
        <v>38171</v>
      </c>
      <c r="D60">
        <f>VLOOKUP(表1_[[#This Row],[地区]],Sheet2!A:B,2,0)</f>
        <v>210000</v>
      </c>
      <c r="E60">
        <f>表1_[[#This Row],[年份]]+表1_[[#This Row],[行政区划]]</f>
        <v>212022</v>
      </c>
    </row>
    <row r="61" spans="1:5" x14ac:dyDescent="0.4">
      <c r="A61" t="s">
        <v>5</v>
      </c>
      <c r="B61" t="s">
        <v>44</v>
      </c>
      <c r="C61" s="3">
        <v>34185</v>
      </c>
      <c r="D61">
        <f>VLOOKUP(表1_[[#This Row],[地区]],Sheet2!A:B,2,0)</f>
        <v>210000</v>
      </c>
      <c r="E61">
        <f>表1_[[#This Row],[年份]]+表1_[[#This Row],[行政区划]]</f>
        <v>212023</v>
      </c>
    </row>
    <row r="62" spans="1:5" x14ac:dyDescent="0.4">
      <c r="A62" t="s">
        <v>6</v>
      </c>
      <c r="B62" t="s">
        <v>35</v>
      </c>
      <c r="C62" s="3">
        <v>1884</v>
      </c>
      <c r="D62">
        <f>VLOOKUP(表1_[[#This Row],[地区]],Sheet2!A:B,2,0)</f>
        <v>220000</v>
      </c>
      <c r="E62">
        <f>表1_[[#This Row],[年份]]+表1_[[#This Row],[行政区划]]</f>
        <v>222014</v>
      </c>
    </row>
    <row r="63" spans="1:5" x14ac:dyDescent="0.4">
      <c r="A63" t="s">
        <v>6</v>
      </c>
      <c r="B63" t="s">
        <v>36</v>
      </c>
      <c r="C63" s="3">
        <v>2649</v>
      </c>
      <c r="D63">
        <f>VLOOKUP(表1_[[#This Row],[地区]],Sheet2!A:B,2,0)</f>
        <v>220000</v>
      </c>
      <c r="E63">
        <f>表1_[[#This Row],[年份]]+表1_[[#This Row],[行政区划]]</f>
        <v>222015</v>
      </c>
    </row>
    <row r="64" spans="1:5" x14ac:dyDescent="0.4">
      <c r="A64" t="s">
        <v>6</v>
      </c>
      <c r="B64" t="s">
        <v>37</v>
      </c>
      <c r="C64" s="3">
        <v>3395</v>
      </c>
      <c r="D64">
        <f>VLOOKUP(表1_[[#This Row],[地区]],Sheet2!A:B,2,0)</f>
        <v>220000</v>
      </c>
      <c r="E64">
        <f>表1_[[#This Row],[年份]]+表1_[[#This Row],[行政区划]]</f>
        <v>222016</v>
      </c>
    </row>
    <row r="65" spans="1:5" x14ac:dyDescent="0.4">
      <c r="A65" t="s">
        <v>6</v>
      </c>
      <c r="B65" t="s">
        <v>38</v>
      </c>
      <c r="C65" s="3">
        <v>3518</v>
      </c>
      <c r="D65">
        <f>VLOOKUP(表1_[[#This Row],[地区]],Sheet2!A:B,2,0)</f>
        <v>220000</v>
      </c>
      <c r="E65">
        <f>表1_[[#This Row],[年份]]+表1_[[#This Row],[行政区划]]</f>
        <v>222017</v>
      </c>
    </row>
    <row r="66" spans="1:5" x14ac:dyDescent="0.4">
      <c r="A66" t="s">
        <v>6</v>
      </c>
      <c r="B66" t="s">
        <v>39</v>
      </c>
      <c r="C66" s="3">
        <v>4612</v>
      </c>
      <c r="D66">
        <f>VLOOKUP(表1_[[#This Row],[地区]],Sheet2!A:B,2,0)</f>
        <v>220000</v>
      </c>
      <c r="E66">
        <f>表1_[[#This Row],[年份]]+表1_[[#This Row],[行政区划]]</f>
        <v>222018</v>
      </c>
    </row>
    <row r="67" spans="1:5" x14ac:dyDescent="0.4">
      <c r="A67" t="s">
        <v>6</v>
      </c>
      <c r="B67" t="s">
        <v>40</v>
      </c>
      <c r="C67" s="3">
        <v>4853</v>
      </c>
      <c r="D67">
        <f>VLOOKUP(表1_[[#This Row],[地区]],Sheet2!A:B,2,0)</f>
        <v>220000</v>
      </c>
      <c r="E67">
        <f>表1_[[#This Row],[年份]]+表1_[[#This Row],[行政区划]]</f>
        <v>222019</v>
      </c>
    </row>
    <row r="68" spans="1:5" x14ac:dyDescent="0.4">
      <c r="A68" t="s">
        <v>6</v>
      </c>
      <c r="B68" t="s">
        <v>41</v>
      </c>
      <c r="C68" s="3">
        <v>6696</v>
      </c>
      <c r="D68">
        <f>VLOOKUP(表1_[[#This Row],[地区]],Sheet2!A:B,2,0)</f>
        <v>220000</v>
      </c>
      <c r="E68">
        <f>表1_[[#This Row],[年份]]+表1_[[#This Row],[行政区划]]</f>
        <v>222020</v>
      </c>
    </row>
    <row r="69" spans="1:5" x14ac:dyDescent="0.4">
      <c r="A69" t="s">
        <v>6</v>
      </c>
      <c r="B69" t="s">
        <v>42</v>
      </c>
      <c r="C69" s="3">
        <v>7109</v>
      </c>
      <c r="D69">
        <f>VLOOKUP(表1_[[#This Row],[地区]],Sheet2!A:B,2,0)</f>
        <v>220000</v>
      </c>
      <c r="E69">
        <f>表1_[[#This Row],[年份]]+表1_[[#This Row],[行政区划]]</f>
        <v>222021</v>
      </c>
    </row>
    <row r="70" spans="1:5" x14ac:dyDescent="0.4">
      <c r="A70" t="s">
        <v>6</v>
      </c>
      <c r="B70" t="s">
        <v>43</v>
      </c>
      <c r="C70" s="3">
        <v>8925</v>
      </c>
      <c r="D70">
        <f>VLOOKUP(表1_[[#This Row],[地区]],Sheet2!A:B,2,0)</f>
        <v>220000</v>
      </c>
      <c r="E70">
        <f>表1_[[#This Row],[年份]]+表1_[[#This Row],[行政区划]]</f>
        <v>222022</v>
      </c>
    </row>
    <row r="71" spans="1:5" x14ac:dyDescent="0.4">
      <c r="A71" t="s">
        <v>6</v>
      </c>
      <c r="B71" t="s">
        <v>44</v>
      </c>
      <c r="C71" s="3">
        <v>11455</v>
      </c>
      <c r="D71">
        <f>VLOOKUP(表1_[[#This Row],[地区]],Sheet2!A:B,2,0)</f>
        <v>220000</v>
      </c>
      <c r="E71">
        <f>表1_[[#This Row],[年份]]+表1_[[#This Row],[行政区划]]</f>
        <v>222023</v>
      </c>
    </row>
    <row r="72" spans="1:5" x14ac:dyDescent="0.4">
      <c r="A72" t="s">
        <v>7</v>
      </c>
      <c r="B72" t="s">
        <v>35</v>
      </c>
      <c r="C72" s="3">
        <v>3052</v>
      </c>
      <c r="D72">
        <f>VLOOKUP(表1_[[#This Row],[地区]],Sheet2!A:B,2,0)</f>
        <v>230000</v>
      </c>
      <c r="E72">
        <f>表1_[[#This Row],[年份]]+表1_[[#This Row],[行政区划]]</f>
        <v>232014</v>
      </c>
    </row>
    <row r="73" spans="1:5" x14ac:dyDescent="0.4">
      <c r="A73" t="s">
        <v>7</v>
      </c>
      <c r="B73" t="s">
        <v>36</v>
      </c>
      <c r="C73" s="3">
        <v>3351</v>
      </c>
      <c r="D73">
        <f>VLOOKUP(表1_[[#This Row],[地区]],Sheet2!A:B,2,0)</f>
        <v>230000</v>
      </c>
      <c r="E73">
        <f>表1_[[#This Row],[年份]]+表1_[[#This Row],[行政区划]]</f>
        <v>232015</v>
      </c>
    </row>
    <row r="74" spans="1:5" x14ac:dyDescent="0.4">
      <c r="A74" t="s">
        <v>7</v>
      </c>
      <c r="B74" t="s">
        <v>37</v>
      </c>
      <c r="C74" s="3">
        <v>4716</v>
      </c>
      <c r="D74">
        <f>VLOOKUP(表1_[[#This Row],[地区]],Sheet2!A:B,2,0)</f>
        <v>230000</v>
      </c>
      <c r="E74">
        <f>表1_[[#This Row],[年份]]+表1_[[#This Row],[行政区划]]</f>
        <v>232016</v>
      </c>
    </row>
    <row r="75" spans="1:5" x14ac:dyDescent="0.4">
      <c r="A75" t="s">
        <v>7</v>
      </c>
      <c r="B75" t="s">
        <v>38</v>
      </c>
      <c r="C75" s="3">
        <v>5760</v>
      </c>
      <c r="D75">
        <f>VLOOKUP(表1_[[#This Row],[地区]],Sheet2!A:B,2,0)</f>
        <v>230000</v>
      </c>
      <c r="E75">
        <f>表1_[[#This Row],[年份]]+表1_[[#This Row],[行政区划]]</f>
        <v>232017</v>
      </c>
    </row>
    <row r="76" spans="1:5" x14ac:dyDescent="0.4">
      <c r="A76" t="s">
        <v>7</v>
      </c>
      <c r="B76" t="s">
        <v>39</v>
      </c>
      <c r="C76" s="3">
        <v>4708</v>
      </c>
      <c r="D76">
        <f>VLOOKUP(表1_[[#This Row],[地区]],Sheet2!A:B,2,0)</f>
        <v>230000</v>
      </c>
      <c r="E76">
        <f>表1_[[#This Row],[年份]]+表1_[[#This Row],[行政区划]]</f>
        <v>232018</v>
      </c>
    </row>
    <row r="77" spans="1:5" x14ac:dyDescent="0.4">
      <c r="A77" t="s">
        <v>7</v>
      </c>
      <c r="B77" t="s">
        <v>40</v>
      </c>
      <c r="C77" s="3">
        <v>6232</v>
      </c>
      <c r="D77">
        <f>VLOOKUP(表1_[[#This Row],[地区]],Sheet2!A:B,2,0)</f>
        <v>230000</v>
      </c>
      <c r="E77">
        <f>表1_[[#This Row],[年份]]+表1_[[#This Row],[行政区划]]</f>
        <v>232019</v>
      </c>
    </row>
    <row r="78" spans="1:5" x14ac:dyDescent="0.4">
      <c r="A78" t="s">
        <v>7</v>
      </c>
      <c r="B78" t="s">
        <v>41</v>
      </c>
      <c r="C78" s="3">
        <v>8260</v>
      </c>
      <c r="D78">
        <f>VLOOKUP(表1_[[#This Row],[地区]],Sheet2!A:B,2,0)</f>
        <v>230000</v>
      </c>
      <c r="E78">
        <f>表1_[[#This Row],[年份]]+表1_[[#This Row],[行政区划]]</f>
        <v>232020</v>
      </c>
    </row>
    <row r="79" spans="1:5" x14ac:dyDescent="0.4">
      <c r="A79" t="s">
        <v>7</v>
      </c>
      <c r="B79" t="s">
        <v>42</v>
      </c>
      <c r="C79" s="3">
        <v>9611</v>
      </c>
      <c r="D79">
        <f>VLOOKUP(表1_[[#This Row],[地区]],Sheet2!A:B,2,0)</f>
        <v>230000</v>
      </c>
      <c r="E79">
        <f>表1_[[#This Row],[年份]]+表1_[[#This Row],[行政区划]]</f>
        <v>232021</v>
      </c>
    </row>
    <row r="80" spans="1:5" x14ac:dyDescent="0.4">
      <c r="A80" t="s">
        <v>7</v>
      </c>
      <c r="B80" t="s">
        <v>43</v>
      </c>
      <c r="C80" s="3">
        <v>10591</v>
      </c>
      <c r="D80">
        <f>VLOOKUP(表1_[[#This Row],[地区]],Sheet2!A:B,2,0)</f>
        <v>230000</v>
      </c>
      <c r="E80">
        <f>表1_[[#This Row],[年份]]+表1_[[#This Row],[行政区划]]</f>
        <v>232022</v>
      </c>
    </row>
    <row r="81" spans="1:5" x14ac:dyDescent="0.4">
      <c r="A81" t="s">
        <v>7</v>
      </c>
      <c r="B81" t="s">
        <v>44</v>
      </c>
      <c r="C81" s="3">
        <v>10546</v>
      </c>
      <c r="D81">
        <f>VLOOKUP(表1_[[#This Row],[地区]],Sheet2!A:B,2,0)</f>
        <v>230000</v>
      </c>
      <c r="E81">
        <f>表1_[[#This Row],[年份]]+表1_[[#This Row],[行政区划]]</f>
        <v>232023</v>
      </c>
    </row>
    <row r="82" spans="1:5" x14ac:dyDescent="0.4">
      <c r="A82" t="s">
        <v>8</v>
      </c>
      <c r="B82" t="s">
        <v>35</v>
      </c>
      <c r="C82" s="3">
        <v>27540</v>
      </c>
      <c r="D82">
        <f>VLOOKUP(表1_[[#This Row],[地区]],Sheet2!A:B,2,0)</f>
        <v>310000</v>
      </c>
      <c r="E82">
        <f>表1_[[#This Row],[年份]]+表1_[[#This Row],[行政区划]]</f>
        <v>312014</v>
      </c>
    </row>
    <row r="83" spans="1:5" x14ac:dyDescent="0.4">
      <c r="A83" t="s">
        <v>8</v>
      </c>
      <c r="B83" t="s">
        <v>36</v>
      </c>
      <c r="C83" s="3">
        <v>30815</v>
      </c>
      <c r="D83">
        <f>VLOOKUP(表1_[[#This Row],[地区]],Sheet2!A:B,2,0)</f>
        <v>310000</v>
      </c>
      <c r="E83">
        <f>表1_[[#This Row],[年份]]+表1_[[#This Row],[行政区划]]</f>
        <v>312015</v>
      </c>
    </row>
    <row r="84" spans="1:5" x14ac:dyDescent="0.4">
      <c r="A84" t="s">
        <v>8</v>
      </c>
      <c r="B84" t="s">
        <v>37</v>
      </c>
      <c r="C84" s="3">
        <v>37513</v>
      </c>
      <c r="D84">
        <f>VLOOKUP(表1_[[#This Row],[地区]],Sheet2!A:B,2,0)</f>
        <v>310000</v>
      </c>
      <c r="E84">
        <f>表1_[[#This Row],[年份]]+表1_[[#This Row],[行政区划]]</f>
        <v>312016</v>
      </c>
    </row>
    <row r="85" spans="1:5" x14ac:dyDescent="0.4">
      <c r="A85" t="s">
        <v>8</v>
      </c>
      <c r="B85" t="s">
        <v>38</v>
      </c>
      <c r="C85" s="3">
        <v>43416</v>
      </c>
      <c r="D85">
        <f>VLOOKUP(表1_[[#This Row],[地区]],Sheet2!A:B,2,0)</f>
        <v>310000</v>
      </c>
      <c r="E85">
        <f>表1_[[#This Row],[年份]]+表1_[[#This Row],[行政区划]]</f>
        <v>312017</v>
      </c>
    </row>
    <row r="86" spans="1:5" x14ac:dyDescent="0.4">
      <c r="A86" t="s">
        <v>8</v>
      </c>
      <c r="B86" t="s">
        <v>39</v>
      </c>
      <c r="C86" s="3">
        <v>47940</v>
      </c>
      <c r="D86">
        <f>VLOOKUP(表1_[[#This Row],[地区]],Sheet2!A:B,2,0)</f>
        <v>310000</v>
      </c>
      <c r="E86">
        <f>表1_[[#This Row],[年份]]+表1_[[#This Row],[行政区划]]</f>
        <v>312018</v>
      </c>
    </row>
    <row r="87" spans="1:5" x14ac:dyDescent="0.4">
      <c r="A87" t="s">
        <v>8</v>
      </c>
      <c r="B87" t="s">
        <v>40</v>
      </c>
      <c r="C87" s="3">
        <v>53559</v>
      </c>
      <c r="D87">
        <f>VLOOKUP(表1_[[#This Row],[地区]],Sheet2!A:B,2,0)</f>
        <v>310000</v>
      </c>
      <c r="E87">
        <f>表1_[[#This Row],[年份]]+表1_[[#This Row],[行政区划]]</f>
        <v>312019</v>
      </c>
    </row>
    <row r="88" spans="1:5" x14ac:dyDescent="0.4">
      <c r="A88" t="s">
        <v>8</v>
      </c>
      <c r="B88" t="s">
        <v>41</v>
      </c>
      <c r="C88" s="3">
        <v>62147</v>
      </c>
      <c r="D88">
        <f>VLOOKUP(表1_[[#This Row],[地区]],Sheet2!A:B,2,0)</f>
        <v>310000</v>
      </c>
      <c r="E88">
        <f>表1_[[#This Row],[年份]]+表1_[[#This Row],[行政区划]]</f>
        <v>312020</v>
      </c>
    </row>
    <row r="89" spans="1:5" x14ac:dyDescent="0.4">
      <c r="A89" t="s">
        <v>8</v>
      </c>
      <c r="B89" t="s">
        <v>42</v>
      </c>
      <c r="C89" s="3">
        <v>66509</v>
      </c>
      <c r="D89">
        <f>VLOOKUP(表1_[[#This Row],[地区]],Sheet2!A:B,2,0)</f>
        <v>310000</v>
      </c>
      <c r="E89">
        <f>表1_[[#This Row],[年份]]+表1_[[#This Row],[行政区划]]</f>
        <v>312021</v>
      </c>
    </row>
    <row r="90" spans="1:5" x14ac:dyDescent="0.4">
      <c r="A90" t="s">
        <v>8</v>
      </c>
      <c r="B90" t="s">
        <v>43</v>
      </c>
      <c r="C90" s="3">
        <v>81347</v>
      </c>
      <c r="D90">
        <f>VLOOKUP(表1_[[#This Row],[地区]],Sheet2!A:B,2,0)</f>
        <v>310000</v>
      </c>
      <c r="E90">
        <f>表1_[[#This Row],[年份]]+表1_[[#This Row],[行政区划]]</f>
        <v>312022</v>
      </c>
    </row>
    <row r="91" spans="1:5" x14ac:dyDescent="0.4">
      <c r="A91" t="s">
        <v>8</v>
      </c>
      <c r="B91" t="s">
        <v>44</v>
      </c>
      <c r="C91" s="3">
        <v>88728</v>
      </c>
      <c r="D91">
        <f>VLOOKUP(表1_[[#This Row],[地区]],Sheet2!A:B,2,0)</f>
        <v>310000</v>
      </c>
      <c r="E91">
        <f>表1_[[#This Row],[年份]]+表1_[[#This Row],[行政区划]]</f>
        <v>312023</v>
      </c>
    </row>
    <row r="92" spans="1:5" x14ac:dyDescent="0.4">
      <c r="A92" t="s">
        <v>9</v>
      </c>
      <c r="B92" t="s">
        <v>35</v>
      </c>
      <c r="C92" s="3">
        <v>73252</v>
      </c>
      <c r="D92">
        <f>VLOOKUP(表1_[[#This Row],[地区]],Sheet2!A:B,2,0)</f>
        <v>320000</v>
      </c>
      <c r="E92">
        <f>表1_[[#This Row],[年份]]+表1_[[#This Row],[行政区划]]</f>
        <v>322014</v>
      </c>
    </row>
    <row r="93" spans="1:5" x14ac:dyDescent="0.4">
      <c r="A93" t="s">
        <v>9</v>
      </c>
      <c r="B93" t="s">
        <v>36</v>
      </c>
      <c r="C93" s="3">
        <v>85485</v>
      </c>
      <c r="D93">
        <f>VLOOKUP(表1_[[#This Row],[地区]],Sheet2!A:B,2,0)</f>
        <v>320000</v>
      </c>
      <c r="E93">
        <f>表1_[[#This Row],[年份]]+表1_[[#This Row],[行政区划]]</f>
        <v>322015</v>
      </c>
    </row>
    <row r="94" spans="1:5" x14ac:dyDescent="0.4">
      <c r="A94" t="s">
        <v>9</v>
      </c>
      <c r="B94" t="s">
        <v>37</v>
      </c>
      <c r="C94" s="3">
        <v>117912</v>
      </c>
      <c r="D94">
        <f>VLOOKUP(表1_[[#This Row],[地区]],Sheet2!A:B,2,0)</f>
        <v>320000</v>
      </c>
      <c r="E94">
        <f>表1_[[#This Row],[年份]]+表1_[[#This Row],[行政区划]]</f>
        <v>322016</v>
      </c>
    </row>
    <row r="95" spans="1:5" x14ac:dyDescent="0.4">
      <c r="A95" t="s">
        <v>9</v>
      </c>
      <c r="B95" t="s">
        <v>38</v>
      </c>
      <c r="C95" s="3">
        <v>140346</v>
      </c>
      <c r="D95">
        <f>VLOOKUP(表1_[[#This Row],[地区]],Sheet2!A:B,2,0)</f>
        <v>320000</v>
      </c>
      <c r="E95">
        <f>表1_[[#This Row],[年份]]+表1_[[#This Row],[行政区划]]</f>
        <v>322017</v>
      </c>
    </row>
    <row r="96" spans="1:5" x14ac:dyDescent="0.4">
      <c r="A96" t="s">
        <v>9</v>
      </c>
      <c r="B96" t="s">
        <v>39</v>
      </c>
      <c r="C96" s="3">
        <v>176120</v>
      </c>
      <c r="D96">
        <f>VLOOKUP(表1_[[#This Row],[地区]],Sheet2!A:B,2,0)</f>
        <v>320000</v>
      </c>
      <c r="E96">
        <f>表1_[[#This Row],[年份]]+表1_[[#This Row],[行政区划]]</f>
        <v>322018</v>
      </c>
    </row>
    <row r="97" spans="1:5" x14ac:dyDescent="0.4">
      <c r="A97" t="s">
        <v>9</v>
      </c>
      <c r="B97" t="s">
        <v>40</v>
      </c>
      <c r="C97" s="3">
        <v>180893</v>
      </c>
      <c r="D97">
        <f>VLOOKUP(表1_[[#This Row],[地区]],Sheet2!A:B,2,0)</f>
        <v>320000</v>
      </c>
      <c r="E97">
        <f>表1_[[#This Row],[年份]]+表1_[[#This Row],[行政区划]]</f>
        <v>322019</v>
      </c>
    </row>
    <row r="98" spans="1:5" x14ac:dyDescent="0.4">
      <c r="A98" t="s">
        <v>9</v>
      </c>
      <c r="B98" t="s">
        <v>41</v>
      </c>
      <c r="C98" s="3">
        <v>224512</v>
      </c>
      <c r="D98">
        <f>VLOOKUP(表1_[[#This Row],[地区]],Sheet2!A:B,2,0)</f>
        <v>320000</v>
      </c>
      <c r="E98">
        <f>表1_[[#This Row],[年份]]+表1_[[#This Row],[行政区划]]</f>
        <v>322020</v>
      </c>
    </row>
    <row r="99" spans="1:5" x14ac:dyDescent="0.4">
      <c r="A99" t="s">
        <v>9</v>
      </c>
      <c r="B99" t="s">
        <v>42</v>
      </c>
      <c r="C99" s="3">
        <v>242423</v>
      </c>
      <c r="D99">
        <f>VLOOKUP(表1_[[#This Row],[地区]],Sheet2!A:B,2,0)</f>
        <v>320000</v>
      </c>
      <c r="E99">
        <f>表1_[[#This Row],[年份]]+表1_[[#This Row],[行政区划]]</f>
        <v>322021</v>
      </c>
    </row>
    <row r="100" spans="1:5" x14ac:dyDescent="0.4">
      <c r="A100" t="s">
        <v>9</v>
      </c>
      <c r="B100" t="s">
        <v>43</v>
      </c>
      <c r="C100" s="3">
        <v>299124</v>
      </c>
      <c r="D100">
        <f>VLOOKUP(表1_[[#This Row],[地区]],Sheet2!A:B,2,0)</f>
        <v>320000</v>
      </c>
      <c r="E100">
        <f>表1_[[#This Row],[年份]]+表1_[[#This Row],[行政区划]]</f>
        <v>322022</v>
      </c>
    </row>
    <row r="101" spans="1:5" x14ac:dyDescent="0.4">
      <c r="A101" t="s">
        <v>9</v>
      </c>
      <c r="B101" t="s">
        <v>44</v>
      </c>
      <c r="C101" s="3">
        <v>328671</v>
      </c>
      <c r="D101">
        <f>VLOOKUP(表1_[[#This Row],[地区]],Sheet2!A:B,2,0)</f>
        <v>320000</v>
      </c>
      <c r="E101">
        <f>表1_[[#This Row],[年份]]+表1_[[#This Row],[行政区划]]</f>
        <v>322023</v>
      </c>
    </row>
    <row r="102" spans="1:5" x14ac:dyDescent="0.4">
      <c r="A102" t="s">
        <v>10</v>
      </c>
      <c r="B102" t="s">
        <v>35</v>
      </c>
      <c r="C102" s="3">
        <v>28235</v>
      </c>
      <c r="D102">
        <f>VLOOKUP(表1_[[#This Row],[地区]],Sheet2!A:B,2,0)</f>
        <v>330000</v>
      </c>
      <c r="E102">
        <f>表1_[[#This Row],[年份]]+表1_[[#This Row],[行政区划]]</f>
        <v>332014</v>
      </c>
    </row>
    <row r="103" spans="1:5" x14ac:dyDescent="0.4">
      <c r="A103" t="s">
        <v>10</v>
      </c>
      <c r="B103" t="s">
        <v>36</v>
      </c>
      <c r="C103" s="3">
        <v>31642</v>
      </c>
      <c r="D103">
        <f>VLOOKUP(表1_[[#This Row],[地区]],Sheet2!A:B,2,0)</f>
        <v>330000</v>
      </c>
      <c r="E103">
        <f>表1_[[#This Row],[年份]]+表1_[[#This Row],[行政区划]]</f>
        <v>332015</v>
      </c>
    </row>
    <row r="104" spans="1:5" x14ac:dyDescent="0.4">
      <c r="A104" t="s">
        <v>10</v>
      </c>
      <c r="B104" t="s">
        <v>37</v>
      </c>
      <c r="C104" s="3">
        <v>38661</v>
      </c>
      <c r="D104">
        <f>VLOOKUP(表1_[[#This Row],[地区]],Sheet2!A:B,2,0)</f>
        <v>330000</v>
      </c>
      <c r="E104">
        <f>表1_[[#This Row],[年份]]+表1_[[#This Row],[行政区划]]</f>
        <v>332016</v>
      </c>
    </row>
    <row r="105" spans="1:5" x14ac:dyDescent="0.4">
      <c r="A105" t="s">
        <v>10</v>
      </c>
      <c r="B105" t="s">
        <v>38</v>
      </c>
      <c r="C105" s="3">
        <v>49158</v>
      </c>
      <c r="D105">
        <f>VLOOKUP(表1_[[#This Row],[地区]],Sheet2!A:B,2,0)</f>
        <v>330000</v>
      </c>
      <c r="E105">
        <f>表1_[[#This Row],[年份]]+表1_[[#This Row],[行政区划]]</f>
        <v>332017</v>
      </c>
    </row>
    <row r="106" spans="1:5" x14ac:dyDescent="0.4">
      <c r="A106" t="s">
        <v>10</v>
      </c>
      <c r="B106" t="s">
        <v>39</v>
      </c>
      <c r="C106" s="3">
        <v>62341</v>
      </c>
      <c r="D106">
        <f>VLOOKUP(表1_[[#This Row],[地区]],Sheet2!A:B,2,0)</f>
        <v>330000</v>
      </c>
      <c r="E106">
        <f>表1_[[#This Row],[年份]]+表1_[[#This Row],[行政区划]]</f>
        <v>332018</v>
      </c>
    </row>
    <row r="107" spans="1:5" x14ac:dyDescent="0.4">
      <c r="A107" t="s">
        <v>10</v>
      </c>
      <c r="B107" t="s">
        <v>40</v>
      </c>
      <c r="C107" s="3">
        <v>75770</v>
      </c>
      <c r="D107">
        <f>VLOOKUP(表1_[[#This Row],[地区]],Sheet2!A:B,2,0)</f>
        <v>330000</v>
      </c>
      <c r="E107">
        <f>表1_[[#This Row],[年份]]+表1_[[#This Row],[行政区划]]</f>
        <v>332019</v>
      </c>
    </row>
    <row r="108" spans="1:5" x14ac:dyDescent="0.4">
      <c r="A108" t="s">
        <v>10</v>
      </c>
      <c r="B108" t="s">
        <v>41</v>
      </c>
      <c r="C108" s="3">
        <v>93159</v>
      </c>
      <c r="D108">
        <f>VLOOKUP(表1_[[#This Row],[地区]],Sheet2!A:B,2,0)</f>
        <v>330000</v>
      </c>
      <c r="E108">
        <f>表1_[[#This Row],[年份]]+表1_[[#This Row],[行政区划]]</f>
        <v>332020</v>
      </c>
    </row>
    <row r="109" spans="1:5" x14ac:dyDescent="0.4">
      <c r="A109" t="s">
        <v>10</v>
      </c>
      <c r="B109" t="s">
        <v>42</v>
      </c>
      <c r="C109" s="3">
        <v>120873</v>
      </c>
      <c r="D109">
        <f>VLOOKUP(表1_[[#This Row],[地区]],Sheet2!A:B,2,0)</f>
        <v>330000</v>
      </c>
      <c r="E109">
        <f>表1_[[#This Row],[年份]]+表1_[[#This Row],[行政区划]]</f>
        <v>332021</v>
      </c>
    </row>
    <row r="110" spans="1:5" x14ac:dyDescent="0.4">
      <c r="A110" t="s">
        <v>10</v>
      </c>
      <c r="B110" t="s">
        <v>43</v>
      </c>
      <c r="C110" s="3">
        <v>146012</v>
      </c>
      <c r="D110">
        <f>VLOOKUP(表1_[[#This Row],[地区]],Sheet2!A:B,2,0)</f>
        <v>330000</v>
      </c>
      <c r="E110">
        <f>表1_[[#This Row],[年份]]+表1_[[#This Row],[行政区划]]</f>
        <v>332022</v>
      </c>
    </row>
    <row r="111" spans="1:5" x14ac:dyDescent="0.4">
      <c r="A111" t="s">
        <v>10</v>
      </c>
      <c r="B111" t="s">
        <v>44</v>
      </c>
      <c r="C111" s="3">
        <v>181101</v>
      </c>
      <c r="D111">
        <f>VLOOKUP(表1_[[#This Row],[地区]],Sheet2!A:B,2,0)</f>
        <v>330000</v>
      </c>
      <c r="E111">
        <f>表1_[[#This Row],[年份]]+表1_[[#This Row],[行政区划]]</f>
        <v>332023</v>
      </c>
    </row>
    <row r="112" spans="1:5" x14ac:dyDescent="0.4">
      <c r="A112" t="s">
        <v>11</v>
      </c>
      <c r="B112" t="s">
        <v>35</v>
      </c>
      <c r="C112" s="3">
        <v>21667</v>
      </c>
      <c r="D112">
        <f>VLOOKUP(表1_[[#This Row],[地区]],Sheet2!A:B,2,0)</f>
        <v>340000</v>
      </c>
      <c r="E112">
        <f>表1_[[#This Row],[年份]]+表1_[[#This Row],[行政区划]]</f>
        <v>342014</v>
      </c>
    </row>
    <row r="113" spans="1:5" x14ac:dyDescent="0.4">
      <c r="A113" t="s">
        <v>11</v>
      </c>
      <c r="B113" t="s">
        <v>36</v>
      </c>
      <c r="C113" s="3">
        <v>28568</v>
      </c>
      <c r="D113">
        <f>VLOOKUP(表1_[[#This Row],[地区]],Sheet2!A:B,2,0)</f>
        <v>340000</v>
      </c>
      <c r="E113">
        <f>表1_[[#This Row],[年份]]+表1_[[#This Row],[行政区划]]</f>
        <v>342015</v>
      </c>
    </row>
    <row r="114" spans="1:5" x14ac:dyDescent="0.4">
      <c r="A114" t="s">
        <v>11</v>
      </c>
      <c r="B114" t="s">
        <v>37</v>
      </c>
      <c r="C114" s="3">
        <v>41791</v>
      </c>
      <c r="D114">
        <f>VLOOKUP(表1_[[#This Row],[地区]],Sheet2!A:B,2,0)</f>
        <v>340000</v>
      </c>
      <c r="E114">
        <f>表1_[[#This Row],[年份]]+表1_[[#This Row],[行政区划]]</f>
        <v>342016</v>
      </c>
    </row>
    <row r="115" spans="1:5" x14ac:dyDescent="0.4">
      <c r="A115" t="s">
        <v>11</v>
      </c>
      <c r="B115" t="s">
        <v>38</v>
      </c>
      <c r="C115" s="3">
        <v>49810</v>
      </c>
      <c r="D115">
        <f>VLOOKUP(表1_[[#This Row],[地区]],Sheet2!A:B,2,0)</f>
        <v>340000</v>
      </c>
      <c r="E115">
        <f>表1_[[#This Row],[年份]]+表1_[[#This Row],[行政区划]]</f>
        <v>342017</v>
      </c>
    </row>
    <row r="116" spans="1:5" x14ac:dyDescent="0.4">
      <c r="A116" t="s">
        <v>11</v>
      </c>
      <c r="B116" t="s">
        <v>39</v>
      </c>
      <c r="C116" s="3">
        <v>56296</v>
      </c>
      <c r="D116">
        <f>VLOOKUP(表1_[[#This Row],[地区]],Sheet2!A:B,2,0)</f>
        <v>340000</v>
      </c>
      <c r="E116">
        <f>表1_[[#This Row],[年份]]+表1_[[#This Row],[行政区划]]</f>
        <v>342018</v>
      </c>
    </row>
    <row r="117" spans="1:5" x14ac:dyDescent="0.4">
      <c r="A117" t="s">
        <v>11</v>
      </c>
      <c r="B117" t="s">
        <v>40</v>
      </c>
      <c r="C117" s="3">
        <v>54798</v>
      </c>
      <c r="D117">
        <f>VLOOKUP(表1_[[#This Row],[地区]],Sheet2!A:B,2,0)</f>
        <v>340000</v>
      </c>
      <c r="E117">
        <f>表1_[[#This Row],[年份]]+表1_[[#This Row],[行政区划]]</f>
        <v>342019</v>
      </c>
    </row>
    <row r="118" spans="1:5" x14ac:dyDescent="0.4">
      <c r="A118" t="s">
        <v>11</v>
      </c>
      <c r="B118" t="s">
        <v>41</v>
      </c>
      <c r="C118" s="3">
        <v>70467</v>
      </c>
      <c r="D118">
        <f>VLOOKUP(表1_[[#This Row],[地区]],Sheet2!A:B,2,0)</f>
        <v>340000</v>
      </c>
      <c r="E118">
        <f>表1_[[#This Row],[年份]]+表1_[[#This Row],[行政区划]]</f>
        <v>342020</v>
      </c>
    </row>
    <row r="119" spans="1:5" x14ac:dyDescent="0.4">
      <c r="A119" t="s">
        <v>11</v>
      </c>
      <c r="B119" t="s">
        <v>42</v>
      </c>
      <c r="C119" s="3">
        <v>78480</v>
      </c>
      <c r="D119">
        <f>VLOOKUP(表1_[[#This Row],[地区]],Sheet2!A:B,2,0)</f>
        <v>340000</v>
      </c>
      <c r="E119">
        <f>表1_[[#This Row],[年份]]+表1_[[#This Row],[行政区划]]</f>
        <v>342021</v>
      </c>
    </row>
    <row r="120" spans="1:5" x14ac:dyDescent="0.4">
      <c r="A120" t="s">
        <v>11</v>
      </c>
      <c r="B120" t="s">
        <v>43</v>
      </c>
      <c r="C120" s="3">
        <v>91651</v>
      </c>
      <c r="D120">
        <f>VLOOKUP(表1_[[#This Row],[地区]],Sheet2!A:B,2,0)</f>
        <v>340000</v>
      </c>
      <c r="E120">
        <f>表1_[[#This Row],[年份]]+表1_[[#This Row],[行政区划]]</f>
        <v>342022</v>
      </c>
    </row>
    <row r="121" spans="1:5" x14ac:dyDescent="0.4">
      <c r="A121" t="s">
        <v>11</v>
      </c>
      <c r="B121" t="s">
        <v>44</v>
      </c>
      <c r="C121" s="3">
        <v>101197</v>
      </c>
      <c r="D121">
        <f>VLOOKUP(表1_[[#This Row],[地区]],Sheet2!A:B,2,0)</f>
        <v>340000</v>
      </c>
      <c r="E121">
        <f>表1_[[#This Row],[年份]]+表1_[[#This Row],[行政区划]]</f>
        <v>342023</v>
      </c>
    </row>
    <row r="122" spans="1:5" x14ac:dyDescent="0.4">
      <c r="A122" t="s">
        <v>12</v>
      </c>
      <c r="B122" t="s">
        <v>35</v>
      </c>
      <c r="C122" s="3">
        <v>9176</v>
      </c>
      <c r="D122">
        <f>VLOOKUP(表1_[[#This Row],[地区]],Sheet2!A:B,2,0)</f>
        <v>350000</v>
      </c>
      <c r="E122">
        <f>表1_[[#This Row],[年份]]+表1_[[#This Row],[行政区划]]</f>
        <v>352014</v>
      </c>
    </row>
    <row r="123" spans="1:5" x14ac:dyDescent="0.4">
      <c r="A123" t="s">
        <v>12</v>
      </c>
      <c r="B123" t="s">
        <v>36</v>
      </c>
      <c r="C123" s="3">
        <v>12424</v>
      </c>
      <c r="D123">
        <f>VLOOKUP(表1_[[#This Row],[地区]],Sheet2!A:B,2,0)</f>
        <v>350000</v>
      </c>
      <c r="E123">
        <f>表1_[[#This Row],[年份]]+表1_[[#This Row],[行政区划]]</f>
        <v>352015</v>
      </c>
    </row>
    <row r="124" spans="1:5" x14ac:dyDescent="0.4">
      <c r="A124" t="s">
        <v>12</v>
      </c>
      <c r="B124" t="s">
        <v>37</v>
      </c>
      <c r="C124" s="3">
        <v>18514</v>
      </c>
      <c r="D124">
        <f>VLOOKUP(表1_[[#This Row],[地区]],Sheet2!A:B,2,0)</f>
        <v>350000</v>
      </c>
      <c r="E124">
        <f>表1_[[#This Row],[年份]]+表1_[[#This Row],[行政区划]]</f>
        <v>352016</v>
      </c>
    </row>
    <row r="125" spans="1:5" x14ac:dyDescent="0.4">
      <c r="A125" t="s">
        <v>12</v>
      </c>
      <c r="B125" t="s">
        <v>38</v>
      </c>
      <c r="C125" s="3">
        <v>24222</v>
      </c>
      <c r="D125">
        <f>VLOOKUP(表1_[[#This Row],[地区]],Sheet2!A:B,2,0)</f>
        <v>350000</v>
      </c>
      <c r="E125">
        <f>表1_[[#This Row],[年份]]+表1_[[#This Row],[行政区划]]</f>
        <v>352017</v>
      </c>
    </row>
    <row r="126" spans="1:5" x14ac:dyDescent="0.4">
      <c r="A126" t="s">
        <v>12</v>
      </c>
      <c r="B126" t="s">
        <v>39</v>
      </c>
      <c r="C126" s="3">
        <v>29543</v>
      </c>
      <c r="D126">
        <f>VLOOKUP(表1_[[#This Row],[地区]],Sheet2!A:B,2,0)</f>
        <v>350000</v>
      </c>
      <c r="E126">
        <f>表1_[[#This Row],[年份]]+表1_[[#This Row],[行政区划]]</f>
        <v>352018</v>
      </c>
    </row>
    <row r="127" spans="1:5" x14ac:dyDescent="0.4">
      <c r="A127" t="s">
        <v>12</v>
      </c>
      <c r="B127" t="s">
        <v>40</v>
      </c>
      <c r="C127" s="3">
        <v>34668</v>
      </c>
      <c r="D127">
        <f>VLOOKUP(表1_[[#This Row],[地区]],Sheet2!A:B,2,0)</f>
        <v>350000</v>
      </c>
      <c r="E127">
        <f>表1_[[#This Row],[年份]]+表1_[[#This Row],[行政区划]]</f>
        <v>352019</v>
      </c>
    </row>
    <row r="128" spans="1:5" x14ac:dyDescent="0.4">
      <c r="A128" t="s">
        <v>12</v>
      </c>
      <c r="B128" t="s">
        <v>41</v>
      </c>
      <c r="C128" s="3">
        <v>44702</v>
      </c>
      <c r="D128">
        <f>VLOOKUP(表1_[[#This Row],[地区]],Sheet2!A:B,2,0)</f>
        <v>350000</v>
      </c>
      <c r="E128">
        <f>表1_[[#This Row],[年份]]+表1_[[#This Row],[行政区划]]</f>
        <v>352020</v>
      </c>
    </row>
    <row r="129" spans="1:5" x14ac:dyDescent="0.4">
      <c r="A129" t="s">
        <v>12</v>
      </c>
      <c r="B129" t="s">
        <v>42</v>
      </c>
      <c r="C129" s="3">
        <v>45695</v>
      </c>
      <c r="D129">
        <f>VLOOKUP(表1_[[#This Row],[地区]],Sheet2!A:B,2,0)</f>
        <v>350000</v>
      </c>
      <c r="E129">
        <f>表1_[[#This Row],[年份]]+表1_[[#This Row],[行政区划]]</f>
        <v>352021</v>
      </c>
    </row>
    <row r="130" spans="1:5" x14ac:dyDescent="0.4">
      <c r="A130" t="s">
        <v>12</v>
      </c>
      <c r="B130" t="s">
        <v>43</v>
      </c>
      <c r="C130" s="3">
        <v>55076</v>
      </c>
      <c r="D130">
        <f>VLOOKUP(表1_[[#This Row],[地区]],Sheet2!A:B,2,0)</f>
        <v>350000</v>
      </c>
      <c r="E130">
        <f>表1_[[#This Row],[年份]]+表1_[[#This Row],[行政区划]]</f>
        <v>352022</v>
      </c>
    </row>
    <row r="131" spans="1:5" x14ac:dyDescent="0.4">
      <c r="A131" t="s">
        <v>12</v>
      </c>
      <c r="B131" t="s">
        <v>44</v>
      </c>
      <c r="C131" s="3">
        <v>63781</v>
      </c>
      <c r="D131">
        <f>VLOOKUP(表1_[[#This Row],[地区]],Sheet2!A:B,2,0)</f>
        <v>350000</v>
      </c>
      <c r="E131">
        <f>表1_[[#This Row],[年份]]+表1_[[#This Row],[行政区划]]</f>
        <v>352023</v>
      </c>
    </row>
    <row r="132" spans="1:5" x14ac:dyDescent="0.4">
      <c r="A132" t="s">
        <v>13</v>
      </c>
      <c r="B132" t="s">
        <v>35</v>
      </c>
      <c r="C132" s="3">
        <v>3383</v>
      </c>
      <c r="D132">
        <f>VLOOKUP(表1_[[#This Row],[地区]],Sheet2!A:B,2,0)</f>
        <v>360000</v>
      </c>
      <c r="E132">
        <f>表1_[[#This Row],[年份]]+表1_[[#This Row],[行政区划]]</f>
        <v>362014</v>
      </c>
    </row>
    <row r="133" spans="1:5" x14ac:dyDescent="0.4">
      <c r="A133" t="s">
        <v>13</v>
      </c>
      <c r="B133" t="s">
        <v>36</v>
      </c>
      <c r="C133" s="3">
        <v>4765</v>
      </c>
      <c r="D133">
        <f>VLOOKUP(表1_[[#This Row],[地区]],Sheet2!A:B,2,0)</f>
        <v>360000</v>
      </c>
      <c r="E133">
        <f>表1_[[#This Row],[年份]]+表1_[[#This Row],[行政区划]]</f>
        <v>362015</v>
      </c>
    </row>
    <row r="134" spans="1:5" x14ac:dyDescent="0.4">
      <c r="A134" t="s">
        <v>13</v>
      </c>
      <c r="B134" t="s">
        <v>37</v>
      </c>
      <c r="C134" s="3">
        <v>6993</v>
      </c>
      <c r="D134">
        <f>VLOOKUP(表1_[[#This Row],[地区]],Sheet2!A:B,2,0)</f>
        <v>360000</v>
      </c>
      <c r="E134">
        <f>表1_[[#This Row],[年份]]+表1_[[#This Row],[行政区划]]</f>
        <v>362016</v>
      </c>
    </row>
    <row r="135" spans="1:5" x14ac:dyDescent="0.4">
      <c r="A135" t="s">
        <v>13</v>
      </c>
      <c r="B135" t="s">
        <v>38</v>
      </c>
      <c r="C135" s="3">
        <v>10806</v>
      </c>
      <c r="D135">
        <f>VLOOKUP(表1_[[#This Row],[地区]],Sheet2!A:B,2,0)</f>
        <v>360000</v>
      </c>
      <c r="E135">
        <f>表1_[[#This Row],[年份]]+表1_[[#This Row],[行政区划]]</f>
        <v>362017</v>
      </c>
    </row>
    <row r="136" spans="1:5" x14ac:dyDescent="0.4">
      <c r="A136" t="s">
        <v>13</v>
      </c>
      <c r="B136" t="s">
        <v>39</v>
      </c>
      <c r="C136" s="3">
        <v>11878</v>
      </c>
      <c r="D136">
        <f>VLOOKUP(表1_[[#This Row],[地区]],Sheet2!A:B,2,0)</f>
        <v>360000</v>
      </c>
      <c r="E136">
        <f>表1_[[#This Row],[年份]]+表1_[[#This Row],[行政区划]]</f>
        <v>362018</v>
      </c>
    </row>
    <row r="137" spans="1:5" x14ac:dyDescent="0.4">
      <c r="A137" t="s">
        <v>13</v>
      </c>
      <c r="B137" t="s">
        <v>40</v>
      </c>
      <c r="C137" s="3">
        <v>13328</v>
      </c>
      <c r="D137">
        <f>VLOOKUP(表1_[[#This Row],[地区]],Sheet2!A:B,2,0)</f>
        <v>360000</v>
      </c>
      <c r="E137">
        <f>表1_[[#This Row],[年份]]+表1_[[#This Row],[行政区划]]</f>
        <v>362019</v>
      </c>
    </row>
    <row r="138" spans="1:5" x14ac:dyDescent="0.4">
      <c r="A138" t="s">
        <v>13</v>
      </c>
      <c r="B138" t="s">
        <v>41</v>
      </c>
      <c r="C138" s="3">
        <v>18715</v>
      </c>
      <c r="D138">
        <f>VLOOKUP(表1_[[#This Row],[地区]],Sheet2!A:B,2,0)</f>
        <v>360000</v>
      </c>
      <c r="E138">
        <f>表1_[[#This Row],[年份]]+表1_[[#This Row],[行政区划]]</f>
        <v>362020</v>
      </c>
    </row>
    <row r="139" spans="1:5" x14ac:dyDescent="0.4">
      <c r="A139" t="s">
        <v>13</v>
      </c>
      <c r="B139" t="s">
        <v>42</v>
      </c>
      <c r="C139" s="3">
        <v>21690</v>
      </c>
      <c r="D139">
        <f>VLOOKUP(表1_[[#This Row],[地区]],Sheet2!A:B,2,0)</f>
        <v>360000</v>
      </c>
      <c r="E139">
        <f>表1_[[#This Row],[年份]]+表1_[[#This Row],[行政区划]]</f>
        <v>362021</v>
      </c>
    </row>
    <row r="140" spans="1:5" x14ac:dyDescent="0.4">
      <c r="A140" t="s">
        <v>13</v>
      </c>
      <c r="B140" t="s">
        <v>43</v>
      </c>
      <c r="C140" s="3">
        <v>24847</v>
      </c>
      <c r="D140">
        <f>VLOOKUP(表1_[[#This Row],[地区]],Sheet2!A:B,2,0)</f>
        <v>360000</v>
      </c>
      <c r="E140">
        <f>表1_[[#This Row],[年份]]+表1_[[#This Row],[行政区划]]</f>
        <v>362022</v>
      </c>
    </row>
    <row r="141" spans="1:5" x14ac:dyDescent="0.4">
      <c r="A141" t="s">
        <v>13</v>
      </c>
      <c r="B141" t="s">
        <v>44</v>
      </c>
      <c r="C141" s="3">
        <v>26071</v>
      </c>
      <c r="D141">
        <f>VLOOKUP(表1_[[#This Row],[地区]],Sheet2!A:B,2,0)</f>
        <v>360000</v>
      </c>
      <c r="E141">
        <f>表1_[[#This Row],[年份]]+表1_[[#This Row],[行政区划]]</f>
        <v>362023</v>
      </c>
    </row>
    <row r="142" spans="1:5" x14ac:dyDescent="0.4">
      <c r="A142" t="s">
        <v>14</v>
      </c>
      <c r="B142" t="s">
        <v>35</v>
      </c>
      <c r="C142" s="3">
        <v>26122</v>
      </c>
      <c r="D142">
        <f>VLOOKUP(表1_[[#This Row],[地区]],Sheet2!A:B,2,0)</f>
        <v>370000</v>
      </c>
      <c r="E142">
        <f>表1_[[#This Row],[年份]]+表1_[[#This Row],[行政区划]]</f>
        <v>372014</v>
      </c>
    </row>
    <row r="143" spans="1:5" x14ac:dyDescent="0.4">
      <c r="A143" t="s">
        <v>14</v>
      </c>
      <c r="B143" t="s">
        <v>36</v>
      </c>
      <c r="C143" s="3">
        <v>33785</v>
      </c>
      <c r="D143">
        <f>VLOOKUP(表1_[[#This Row],[地区]],Sheet2!A:B,2,0)</f>
        <v>370000</v>
      </c>
      <c r="E143">
        <f>表1_[[#This Row],[年份]]+表1_[[#This Row],[行政区划]]</f>
        <v>372015</v>
      </c>
    </row>
    <row r="144" spans="1:5" x14ac:dyDescent="0.4">
      <c r="A144" t="s">
        <v>14</v>
      </c>
      <c r="B144" t="s">
        <v>37</v>
      </c>
      <c r="C144" s="3">
        <v>45917</v>
      </c>
      <c r="D144">
        <f>VLOOKUP(表1_[[#This Row],[地区]],Sheet2!A:B,2,0)</f>
        <v>370000</v>
      </c>
      <c r="E144">
        <f>表1_[[#This Row],[年份]]+表1_[[#This Row],[行政区划]]</f>
        <v>372016</v>
      </c>
    </row>
    <row r="145" spans="1:5" x14ac:dyDescent="0.4">
      <c r="A145" t="s">
        <v>14</v>
      </c>
      <c r="B145" t="s">
        <v>38</v>
      </c>
      <c r="C145" s="3">
        <v>56076</v>
      </c>
      <c r="D145">
        <f>VLOOKUP(表1_[[#This Row],[地区]],Sheet2!A:B,2,0)</f>
        <v>370000</v>
      </c>
      <c r="E145">
        <f>表1_[[#This Row],[年份]]+表1_[[#This Row],[行政区划]]</f>
        <v>372017</v>
      </c>
    </row>
    <row r="146" spans="1:5" x14ac:dyDescent="0.4">
      <c r="A146" t="s">
        <v>14</v>
      </c>
      <c r="B146" t="s">
        <v>39</v>
      </c>
      <c r="C146" s="3">
        <v>63496</v>
      </c>
      <c r="D146">
        <f>VLOOKUP(表1_[[#This Row],[地区]],Sheet2!A:B,2,0)</f>
        <v>370000</v>
      </c>
      <c r="E146">
        <f>表1_[[#This Row],[年份]]+表1_[[#This Row],[行政区划]]</f>
        <v>372018</v>
      </c>
    </row>
    <row r="147" spans="1:5" x14ac:dyDescent="0.4">
      <c r="A147" t="s">
        <v>14</v>
      </c>
      <c r="B147" t="s">
        <v>40</v>
      </c>
      <c r="C147" s="3">
        <v>67896</v>
      </c>
      <c r="D147">
        <f>VLOOKUP(表1_[[#This Row],[地区]],Sheet2!A:B,2,0)</f>
        <v>370000</v>
      </c>
      <c r="E147">
        <f>表1_[[#This Row],[年份]]+表1_[[#This Row],[行政区划]]</f>
        <v>372019</v>
      </c>
    </row>
    <row r="148" spans="1:5" x14ac:dyDescent="0.4">
      <c r="A148" t="s">
        <v>14</v>
      </c>
      <c r="B148" t="s">
        <v>41</v>
      </c>
      <c r="C148" s="3">
        <v>78926</v>
      </c>
      <c r="D148">
        <f>VLOOKUP(表1_[[#This Row],[地区]],Sheet2!A:B,2,0)</f>
        <v>370000</v>
      </c>
      <c r="E148">
        <f>表1_[[#This Row],[年份]]+表1_[[#This Row],[行政区划]]</f>
        <v>372020</v>
      </c>
    </row>
    <row r="149" spans="1:5" x14ac:dyDescent="0.4">
      <c r="A149" t="s">
        <v>14</v>
      </c>
      <c r="B149" t="s">
        <v>42</v>
      </c>
      <c r="C149" s="3">
        <v>103410</v>
      </c>
      <c r="D149">
        <f>VLOOKUP(表1_[[#This Row],[地区]],Sheet2!A:B,2,0)</f>
        <v>370000</v>
      </c>
      <c r="E149">
        <f>表1_[[#This Row],[年份]]+表1_[[#This Row],[行政区划]]</f>
        <v>372021</v>
      </c>
    </row>
    <row r="150" spans="1:5" x14ac:dyDescent="0.4">
      <c r="A150" t="s">
        <v>14</v>
      </c>
      <c r="B150" t="s">
        <v>43</v>
      </c>
      <c r="C150" s="3">
        <v>130077</v>
      </c>
      <c r="D150">
        <f>VLOOKUP(表1_[[#This Row],[地区]],Sheet2!A:B,2,0)</f>
        <v>370000</v>
      </c>
      <c r="E150">
        <f>表1_[[#This Row],[年份]]+表1_[[#This Row],[行政区划]]</f>
        <v>372022</v>
      </c>
    </row>
    <row r="151" spans="1:5" x14ac:dyDescent="0.4">
      <c r="A151" t="s">
        <v>14</v>
      </c>
      <c r="B151" t="s">
        <v>44</v>
      </c>
      <c r="C151" s="3">
        <v>156453</v>
      </c>
      <c r="D151">
        <f>VLOOKUP(表1_[[#This Row],[地区]],Sheet2!A:B,2,0)</f>
        <v>370000</v>
      </c>
      <c r="E151">
        <f>表1_[[#This Row],[年份]]+表1_[[#This Row],[行政区划]]</f>
        <v>372023</v>
      </c>
    </row>
    <row r="152" spans="1:5" x14ac:dyDescent="0.4">
      <c r="A152" t="s">
        <v>15</v>
      </c>
      <c r="B152" t="s">
        <v>35</v>
      </c>
      <c r="C152" s="3">
        <v>8497</v>
      </c>
      <c r="D152">
        <f>VLOOKUP(表1_[[#This Row],[地区]],Sheet2!A:B,2,0)</f>
        <v>410000</v>
      </c>
      <c r="E152">
        <f>表1_[[#This Row],[年份]]+表1_[[#This Row],[行政区划]]</f>
        <v>412014</v>
      </c>
    </row>
    <row r="153" spans="1:5" x14ac:dyDescent="0.4">
      <c r="A153" t="s">
        <v>15</v>
      </c>
      <c r="B153" t="s">
        <v>36</v>
      </c>
      <c r="C153" s="3">
        <v>11305</v>
      </c>
      <c r="D153">
        <f>VLOOKUP(表1_[[#This Row],[地区]],Sheet2!A:B,2,0)</f>
        <v>410000</v>
      </c>
      <c r="E153">
        <f>表1_[[#This Row],[年份]]+表1_[[#This Row],[行政区划]]</f>
        <v>412015</v>
      </c>
    </row>
    <row r="154" spans="1:5" x14ac:dyDescent="0.4">
      <c r="A154" t="s">
        <v>15</v>
      </c>
      <c r="B154" t="s">
        <v>37</v>
      </c>
      <c r="C154" s="3">
        <v>15863</v>
      </c>
      <c r="D154">
        <f>VLOOKUP(表1_[[#This Row],[地区]],Sheet2!A:B,2,0)</f>
        <v>410000</v>
      </c>
      <c r="E154">
        <f>表1_[[#This Row],[年份]]+表1_[[#This Row],[行政区划]]</f>
        <v>412016</v>
      </c>
    </row>
    <row r="155" spans="1:5" x14ac:dyDescent="0.4">
      <c r="A155" t="s">
        <v>15</v>
      </c>
      <c r="B155" t="s">
        <v>38</v>
      </c>
      <c r="C155" s="3">
        <v>19457</v>
      </c>
      <c r="D155">
        <f>VLOOKUP(表1_[[#This Row],[地区]],Sheet2!A:B,2,0)</f>
        <v>410000</v>
      </c>
      <c r="E155">
        <f>表1_[[#This Row],[年份]]+表1_[[#This Row],[行政区划]]</f>
        <v>412017</v>
      </c>
    </row>
    <row r="156" spans="1:5" x14ac:dyDescent="0.4">
      <c r="A156" t="s">
        <v>15</v>
      </c>
      <c r="B156" t="s">
        <v>39</v>
      </c>
      <c r="C156" s="3">
        <v>23857</v>
      </c>
      <c r="D156">
        <f>VLOOKUP(表1_[[#This Row],[地区]],Sheet2!A:B,2,0)</f>
        <v>410000</v>
      </c>
      <c r="E156">
        <f>表1_[[#This Row],[年份]]+表1_[[#This Row],[行政区划]]</f>
        <v>412018</v>
      </c>
    </row>
    <row r="157" spans="1:5" x14ac:dyDescent="0.4">
      <c r="A157" t="s">
        <v>15</v>
      </c>
      <c r="B157" t="s">
        <v>40</v>
      </c>
      <c r="C157" s="3">
        <v>30245</v>
      </c>
      <c r="D157">
        <f>VLOOKUP(表1_[[#This Row],[地区]],Sheet2!A:B,2,0)</f>
        <v>410000</v>
      </c>
      <c r="E157">
        <f>表1_[[#This Row],[年份]]+表1_[[#This Row],[行政区划]]</f>
        <v>412019</v>
      </c>
    </row>
    <row r="158" spans="1:5" x14ac:dyDescent="0.4">
      <c r="A158" t="s">
        <v>15</v>
      </c>
      <c r="B158" t="s">
        <v>41</v>
      </c>
      <c r="C158" s="3">
        <v>36500</v>
      </c>
      <c r="D158">
        <f>VLOOKUP(表1_[[#This Row],[地区]],Sheet2!A:B,2,0)</f>
        <v>410000</v>
      </c>
      <c r="E158">
        <f>表1_[[#This Row],[年份]]+表1_[[#This Row],[行政区划]]</f>
        <v>412020</v>
      </c>
    </row>
    <row r="159" spans="1:5" x14ac:dyDescent="0.4">
      <c r="A159" t="s">
        <v>15</v>
      </c>
      <c r="B159" t="s">
        <v>42</v>
      </c>
      <c r="C159" s="3">
        <v>42849</v>
      </c>
      <c r="D159">
        <f>VLOOKUP(表1_[[#This Row],[地区]],Sheet2!A:B,2,0)</f>
        <v>410000</v>
      </c>
      <c r="E159">
        <f>表1_[[#This Row],[年份]]+表1_[[#This Row],[行政区划]]</f>
        <v>412021</v>
      </c>
    </row>
    <row r="160" spans="1:5" x14ac:dyDescent="0.4">
      <c r="A160" t="s">
        <v>15</v>
      </c>
      <c r="B160" t="s">
        <v>43</v>
      </c>
      <c r="C160" s="3">
        <v>45993</v>
      </c>
      <c r="D160">
        <f>VLOOKUP(表1_[[#This Row],[地区]],Sheet2!A:B,2,0)</f>
        <v>410000</v>
      </c>
      <c r="E160">
        <f>表1_[[#This Row],[年份]]+表1_[[#This Row],[行政区划]]</f>
        <v>412022</v>
      </c>
    </row>
    <row r="161" spans="1:5" x14ac:dyDescent="0.4">
      <c r="A161" t="s">
        <v>15</v>
      </c>
      <c r="B161" t="s">
        <v>44</v>
      </c>
      <c r="C161" s="3">
        <v>49860</v>
      </c>
      <c r="D161">
        <f>VLOOKUP(表1_[[#This Row],[地区]],Sheet2!A:B,2,0)</f>
        <v>410000</v>
      </c>
      <c r="E161">
        <f>表1_[[#This Row],[年份]]+表1_[[#This Row],[行政区划]]</f>
        <v>412023</v>
      </c>
    </row>
    <row r="162" spans="1:5" x14ac:dyDescent="0.4">
      <c r="A162" t="s">
        <v>16</v>
      </c>
      <c r="B162" t="s">
        <v>35</v>
      </c>
      <c r="C162" s="3">
        <v>12444</v>
      </c>
      <c r="D162">
        <f>VLOOKUP(表1_[[#This Row],[地区]],Sheet2!A:B,2,0)</f>
        <v>420000</v>
      </c>
      <c r="E162">
        <f>表1_[[#This Row],[年份]]+表1_[[#This Row],[行政区划]]</f>
        <v>422014</v>
      </c>
    </row>
    <row r="163" spans="1:5" x14ac:dyDescent="0.4">
      <c r="A163" t="s">
        <v>16</v>
      </c>
      <c r="B163" t="s">
        <v>36</v>
      </c>
      <c r="C163" s="3">
        <v>16965</v>
      </c>
      <c r="D163">
        <f>VLOOKUP(表1_[[#This Row],[地区]],Sheet2!A:B,2,0)</f>
        <v>420000</v>
      </c>
      <c r="E163">
        <f>表1_[[#This Row],[年份]]+表1_[[#This Row],[行政区划]]</f>
        <v>422015</v>
      </c>
    </row>
    <row r="164" spans="1:5" x14ac:dyDescent="0.4">
      <c r="A164" t="s">
        <v>16</v>
      </c>
      <c r="B164" t="s">
        <v>37</v>
      </c>
      <c r="C164" s="3">
        <v>23972</v>
      </c>
      <c r="D164">
        <f>VLOOKUP(表1_[[#This Row],[地区]],Sheet2!A:B,2,0)</f>
        <v>420000</v>
      </c>
      <c r="E164">
        <f>表1_[[#This Row],[年份]]+表1_[[#This Row],[行政区划]]</f>
        <v>422016</v>
      </c>
    </row>
    <row r="165" spans="1:5" x14ac:dyDescent="0.4">
      <c r="A165" t="s">
        <v>16</v>
      </c>
      <c r="B165" t="s">
        <v>38</v>
      </c>
      <c r="C165" s="3">
        <v>25568</v>
      </c>
      <c r="D165">
        <f>VLOOKUP(表1_[[#This Row],[地区]],Sheet2!A:B,2,0)</f>
        <v>420000</v>
      </c>
      <c r="E165">
        <f>表1_[[#This Row],[年份]]+表1_[[#This Row],[行政区划]]</f>
        <v>422017</v>
      </c>
    </row>
    <row r="166" spans="1:5" x14ac:dyDescent="0.4">
      <c r="A166" t="s">
        <v>16</v>
      </c>
      <c r="B166" t="s">
        <v>39</v>
      </c>
      <c r="C166" s="3">
        <v>32421</v>
      </c>
      <c r="D166">
        <f>VLOOKUP(表1_[[#This Row],[地区]],Sheet2!A:B,2,0)</f>
        <v>420000</v>
      </c>
      <c r="E166">
        <f>表1_[[#This Row],[年份]]+表1_[[#This Row],[行政区划]]</f>
        <v>422018</v>
      </c>
    </row>
    <row r="167" spans="1:5" x14ac:dyDescent="0.4">
      <c r="A167" t="s">
        <v>16</v>
      </c>
      <c r="B167" t="s">
        <v>40</v>
      </c>
      <c r="C167" s="3">
        <v>38000</v>
      </c>
      <c r="D167">
        <f>VLOOKUP(表1_[[#This Row],[地区]],Sheet2!A:B,2,0)</f>
        <v>420000</v>
      </c>
      <c r="E167">
        <f>表1_[[#This Row],[年份]]+表1_[[#This Row],[行政区划]]</f>
        <v>422019</v>
      </c>
    </row>
    <row r="168" spans="1:5" x14ac:dyDescent="0.4">
      <c r="A168" t="s">
        <v>16</v>
      </c>
      <c r="B168" t="s">
        <v>41</v>
      </c>
      <c r="C168" s="3">
        <v>49197</v>
      </c>
      <c r="D168">
        <f>VLOOKUP(表1_[[#This Row],[地区]],Sheet2!A:B,2,0)</f>
        <v>420000</v>
      </c>
      <c r="E168">
        <f>表1_[[#This Row],[年份]]+表1_[[#This Row],[行政区划]]</f>
        <v>422020</v>
      </c>
    </row>
    <row r="169" spans="1:5" x14ac:dyDescent="0.4">
      <c r="A169" t="s">
        <v>16</v>
      </c>
      <c r="B169" t="s">
        <v>42</v>
      </c>
      <c r="C169" s="3">
        <v>61986</v>
      </c>
      <c r="D169">
        <f>VLOOKUP(表1_[[#This Row],[地区]],Sheet2!A:B,2,0)</f>
        <v>420000</v>
      </c>
      <c r="E169">
        <f>表1_[[#This Row],[年份]]+表1_[[#This Row],[行政区划]]</f>
        <v>422021</v>
      </c>
    </row>
    <row r="170" spans="1:5" x14ac:dyDescent="0.4">
      <c r="A170" t="s">
        <v>16</v>
      </c>
      <c r="B170" t="s">
        <v>43</v>
      </c>
      <c r="C170" s="3">
        <v>81317</v>
      </c>
      <c r="D170">
        <f>VLOOKUP(表1_[[#This Row],[地区]],Sheet2!A:B,2,0)</f>
        <v>420000</v>
      </c>
      <c r="E170">
        <f>表1_[[#This Row],[年份]]+表1_[[#This Row],[行政区划]]</f>
        <v>422022</v>
      </c>
    </row>
    <row r="171" spans="1:5" x14ac:dyDescent="0.4">
      <c r="A171" t="s">
        <v>16</v>
      </c>
      <c r="B171" t="s">
        <v>44</v>
      </c>
      <c r="C171" s="3">
        <v>97938</v>
      </c>
      <c r="D171">
        <f>VLOOKUP(表1_[[#This Row],[地区]],Sheet2!A:B,2,0)</f>
        <v>420000</v>
      </c>
      <c r="E171">
        <f>表1_[[#This Row],[年份]]+表1_[[#This Row],[行政区划]]</f>
        <v>422023</v>
      </c>
    </row>
    <row r="172" spans="1:5" x14ac:dyDescent="0.4">
      <c r="A172" t="s">
        <v>17</v>
      </c>
      <c r="B172" t="s">
        <v>35</v>
      </c>
      <c r="C172" s="3">
        <v>14415</v>
      </c>
      <c r="D172">
        <f>VLOOKUP(表1_[[#This Row],[地区]],Sheet2!A:B,2,0)</f>
        <v>430000</v>
      </c>
      <c r="E172">
        <f>表1_[[#This Row],[年份]]+表1_[[#This Row],[行政区划]]</f>
        <v>432014</v>
      </c>
    </row>
    <row r="173" spans="1:5" x14ac:dyDescent="0.4">
      <c r="A173" t="s">
        <v>17</v>
      </c>
      <c r="B173" t="s">
        <v>36</v>
      </c>
      <c r="C173" s="3">
        <v>19087</v>
      </c>
      <c r="D173">
        <f>VLOOKUP(表1_[[#This Row],[地区]],Sheet2!A:B,2,0)</f>
        <v>430000</v>
      </c>
      <c r="E173">
        <f>表1_[[#This Row],[年份]]+表1_[[#This Row],[行政区划]]</f>
        <v>432015</v>
      </c>
    </row>
    <row r="174" spans="1:5" x14ac:dyDescent="0.4">
      <c r="A174" t="s">
        <v>17</v>
      </c>
      <c r="B174" t="s">
        <v>37</v>
      </c>
      <c r="C174" s="3">
        <v>22315</v>
      </c>
      <c r="D174">
        <f>VLOOKUP(表1_[[#This Row],[地区]],Sheet2!A:B,2,0)</f>
        <v>430000</v>
      </c>
      <c r="E174">
        <f>表1_[[#This Row],[年份]]+表1_[[#This Row],[行政区划]]</f>
        <v>432016</v>
      </c>
    </row>
    <row r="175" spans="1:5" x14ac:dyDescent="0.4">
      <c r="A175" t="s">
        <v>17</v>
      </c>
      <c r="B175" t="s">
        <v>38</v>
      </c>
      <c r="C175" s="3">
        <v>26697</v>
      </c>
      <c r="D175">
        <f>VLOOKUP(表1_[[#This Row],[地区]],Sheet2!A:B,2,0)</f>
        <v>430000</v>
      </c>
      <c r="E175">
        <f>表1_[[#This Row],[年份]]+表1_[[#This Row],[行政区划]]</f>
        <v>432017</v>
      </c>
    </row>
    <row r="176" spans="1:5" x14ac:dyDescent="0.4">
      <c r="A176" t="s">
        <v>17</v>
      </c>
      <c r="B176" t="s">
        <v>39</v>
      </c>
      <c r="C176" s="3">
        <v>33659</v>
      </c>
      <c r="D176">
        <f>VLOOKUP(表1_[[#This Row],[地区]],Sheet2!A:B,2,0)</f>
        <v>430000</v>
      </c>
      <c r="E176">
        <f>表1_[[#This Row],[年份]]+表1_[[#This Row],[行政区划]]</f>
        <v>432018</v>
      </c>
    </row>
    <row r="177" spans="1:5" x14ac:dyDescent="0.4">
      <c r="A177" t="s">
        <v>17</v>
      </c>
      <c r="B177" t="s">
        <v>40</v>
      </c>
      <c r="C177" s="3">
        <v>39642</v>
      </c>
      <c r="D177">
        <f>VLOOKUP(表1_[[#This Row],[地区]],Sheet2!A:B,2,0)</f>
        <v>430000</v>
      </c>
      <c r="E177">
        <f>表1_[[#This Row],[年份]]+表1_[[#This Row],[行政区划]]</f>
        <v>432019</v>
      </c>
    </row>
    <row r="178" spans="1:5" x14ac:dyDescent="0.4">
      <c r="A178" t="s">
        <v>17</v>
      </c>
      <c r="B178" t="s">
        <v>41</v>
      </c>
      <c r="C178" s="3">
        <v>39805</v>
      </c>
      <c r="D178">
        <f>VLOOKUP(表1_[[#This Row],[地区]],Sheet2!A:B,2,0)</f>
        <v>430000</v>
      </c>
      <c r="E178">
        <f>表1_[[#This Row],[年份]]+表1_[[#This Row],[行政区划]]</f>
        <v>432020</v>
      </c>
    </row>
    <row r="179" spans="1:5" x14ac:dyDescent="0.4">
      <c r="A179" t="s">
        <v>17</v>
      </c>
      <c r="B179" t="s">
        <v>42</v>
      </c>
      <c r="C179" s="3">
        <v>46937</v>
      </c>
      <c r="D179">
        <f>VLOOKUP(表1_[[#This Row],[地区]],Sheet2!A:B,2,0)</f>
        <v>430000</v>
      </c>
      <c r="E179">
        <f>表1_[[#This Row],[年份]]+表1_[[#This Row],[行政区划]]</f>
        <v>432021</v>
      </c>
    </row>
    <row r="180" spans="1:5" x14ac:dyDescent="0.4">
      <c r="A180" t="s">
        <v>17</v>
      </c>
      <c r="B180" t="s">
        <v>43</v>
      </c>
      <c r="C180" s="3">
        <v>58360</v>
      </c>
      <c r="D180">
        <f>VLOOKUP(表1_[[#This Row],[地区]],Sheet2!A:B,2,0)</f>
        <v>430000</v>
      </c>
      <c r="E180">
        <f>表1_[[#This Row],[年份]]+表1_[[#This Row],[行政区划]]</f>
        <v>432022</v>
      </c>
    </row>
    <row r="181" spans="1:5" x14ac:dyDescent="0.4">
      <c r="A181" t="s">
        <v>17</v>
      </c>
      <c r="B181" t="s">
        <v>44</v>
      </c>
      <c r="C181" s="3">
        <v>60535</v>
      </c>
      <c r="D181">
        <f>VLOOKUP(表1_[[#This Row],[地区]],Sheet2!A:B,2,0)</f>
        <v>430000</v>
      </c>
      <c r="E181">
        <f>表1_[[#This Row],[年份]]+表1_[[#This Row],[行政区划]]</f>
        <v>432023</v>
      </c>
    </row>
    <row r="182" spans="1:5" x14ac:dyDescent="0.4">
      <c r="A182" t="s">
        <v>18</v>
      </c>
      <c r="B182" t="s">
        <v>35</v>
      </c>
      <c r="C182" s="3">
        <v>126936</v>
      </c>
      <c r="D182">
        <f>VLOOKUP(表1_[[#This Row],[地区]],Sheet2!A:B,2,0)</f>
        <v>440000</v>
      </c>
      <c r="E182">
        <f>表1_[[#This Row],[年份]]+表1_[[#This Row],[行政区划]]</f>
        <v>442014</v>
      </c>
    </row>
    <row r="183" spans="1:5" x14ac:dyDescent="0.4">
      <c r="A183" t="s">
        <v>18</v>
      </c>
      <c r="B183" t="s">
        <v>36</v>
      </c>
      <c r="C183" s="3">
        <v>177047</v>
      </c>
      <c r="D183">
        <f>VLOOKUP(表1_[[#This Row],[地区]],Sheet2!A:B,2,0)</f>
        <v>440000</v>
      </c>
      <c r="E183">
        <f>表1_[[#This Row],[年份]]+表1_[[#This Row],[行政区划]]</f>
        <v>442015</v>
      </c>
    </row>
    <row r="184" spans="1:5" x14ac:dyDescent="0.4">
      <c r="A184" t="s">
        <v>18</v>
      </c>
      <c r="B184" t="s">
        <v>37</v>
      </c>
      <c r="C184" s="3">
        <v>236918</v>
      </c>
      <c r="D184">
        <f>VLOOKUP(表1_[[#This Row],[地区]],Sheet2!A:B,2,0)</f>
        <v>440000</v>
      </c>
      <c r="E184">
        <f>表1_[[#This Row],[年份]]+表1_[[#This Row],[行政区划]]</f>
        <v>442016</v>
      </c>
    </row>
    <row r="185" spans="1:5" x14ac:dyDescent="0.4">
      <c r="A185" t="s">
        <v>18</v>
      </c>
      <c r="B185" t="s">
        <v>38</v>
      </c>
      <c r="C185" s="3">
        <v>289238</v>
      </c>
      <c r="D185">
        <f>VLOOKUP(表1_[[#This Row],[地区]],Sheet2!A:B,2,0)</f>
        <v>440000</v>
      </c>
      <c r="E185">
        <f>表1_[[#This Row],[年份]]+表1_[[#This Row],[行政区划]]</f>
        <v>442017</v>
      </c>
    </row>
    <row r="186" spans="1:5" x14ac:dyDescent="0.4">
      <c r="A186" t="s">
        <v>18</v>
      </c>
      <c r="B186" t="s">
        <v>39</v>
      </c>
      <c r="C186" s="3">
        <v>328467</v>
      </c>
      <c r="D186">
        <f>VLOOKUP(表1_[[#This Row],[地区]],Sheet2!A:B,2,0)</f>
        <v>440000</v>
      </c>
      <c r="E186">
        <f>表1_[[#This Row],[年份]]+表1_[[#This Row],[行政区划]]</f>
        <v>442018</v>
      </c>
    </row>
    <row r="187" spans="1:5" x14ac:dyDescent="0.4">
      <c r="A187" t="s">
        <v>18</v>
      </c>
      <c r="B187" t="s">
        <v>40</v>
      </c>
      <c r="C187" s="3">
        <v>375515</v>
      </c>
      <c r="D187">
        <f>VLOOKUP(表1_[[#This Row],[地区]],Sheet2!A:B,2,0)</f>
        <v>440000</v>
      </c>
      <c r="E187">
        <f>表1_[[#This Row],[年份]]+表1_[[#This Row],[行政区划]]</f>
        <v>442019</v>
      </c>
    </row>
    <row r="188" spans="1:5" x14ac:dyDescent="0.4">
      <c r="A188" t="s">
        <v>18</v>
      </c>
      <c r="B188" t="s">
        <v>41</v>
      </c>
      <c r="C188" s="3">
        <v>435509</v>
      </c>
      <c r="D188">
        <f>VLOOKUP(表1_[[#This Row],[地区]],Sheet2!A:B,2,0)</f>
        <v>440000</v>
      </c>
      <c r="E188">
        <f>表1_[[#This Row],[年份]]+表1_[[#This Row],[行政区划]]</f>
        <v>442020</v>
      </c>
    </row>
    <row r="189" spans="1:5" x14ac:dyDescent="0.4">
      <c r="A189" t="s">
        <v>18</v>
      </c>
      <c r="B189" t="s">
        <v>42</v>
      </c>
      <c r="C189" s="3">
        <v>511717</v>
      </c>
      <c r="D189">
        <f>VLOOKUP(表1_[[#This Row],[地区]],Sheet2!A:B,2,0)</f>
        <v>440000</v>
      </c>
      <c r="E189">
        <f>表1_[[#This Row],[年份]]+表1_[[#This Row],[行政区划]]</f>
        <v>442021</v>
      </c>
    </row>
    <row r="190" spans="1:5" x14ac:dyDescent="0.4">
      <c r="A190" t="s">
        <v>18</v>
      </c>
      <c r="B190" t="s">
        <v>43</v>
      </c>
      <c r="C190" s="3">
        <v>572589</v>
      </c>
      <c r="D190">
        <f>VLOOKUP(表1_[[#This Row],[地区]],Sheet2!A:B,2,0)</f>
        <v>440000</v>
      </c>
      <c r="E190">
        <f>表1_[[#This Row],[年份]]+表1_[[#This Row],[行政区划]]</f>
        <v>442022</v>
      </c>
    </row>
    <row r="191" spans="1:5" x14ac:dyDescent="0.4">
      <c r="A191" t="s">
        <v>18</v>
      </c>
      <c r="B191" t="s">
        <v>44</v>
      </c>
      <c r="C191" s="3">
        <v>661500</v>
      </c>
      <c r="D191">
        <f>VLOOKUP(表1_[[#This Row],[地区]],Sheet2!A:B,2,0)</f>
        <v>440000</v>
      </c>
      <c r="E191">
        <f>表1_[[#This Row],[年份]]+表1_[[#This Row],[行政区划]]</f>
        <v>442023</v>
      </c>
    </row>
    <row r="192" spans="1:5" x14ac:dyDescent="0.4">
      <c r="A192" t="s">
        <v>19</v>
      </c>
      <c r="B192" t="s">
        <v>35</v>
      </c>
      <c r="C192" s="3">
        <v>2670</v>
      </c>
      <c r="D192">
        <f>VLOOKUP(表1_[[#This Row],[地区]],Sheet2!A:B,2,0)</f>
        <v>450000</v>
      </c>
      <c r="E192">
        <f>表1_[[#This Row],[年份]]+表1_[[#This Row],[行政区划]]</f>
        <v>452014</v>
      </c>
    </row>
    <row r="193" spans="1:5" x14ac:dyDescent="0.4">
      <c r="A193" t="s">
        <v>19</v>
      </c>
      <c r="B193" t="s">
        <v>36</v>
      </c>
      <c r="C193" s="3">
        <v>3731</v>
      </c>
      <c r="D193">
        <f>VLOOKUP(表1_[[#This Row],[地区]],Sheet2!A:B,2,0)</f>
        <v>450000</v>
      </c>
      <c r="E193">
        <f>表1_[[#This Row],[年份]]+表1_[[#This Row],[行政区划]]</f>
        <v>452015</v>
      </c>
    </row>
    <row r="194" spans="1:5" x14ac:dyDescent="0.4">
      <c r="A194" t="s">
        <v>19</v>
      </c>
      <c r="B194" t="s">
        <v>37</v>
      </c>
      <c r="C194" s="3">
        <v>6010</v>
      </c>
      <c r="D194">
        <f>VLOOKUP(表1_[[#This Row],[地区]],Sheet2!A:B,2,0)</f>
        <v>450000</v>
      </c>
      <c r="E194">
        <f>表1_[[#This Row],[年份]]+表1_[[#This Row],[行政区划]]</f>
        <v>452016</v>
      </c>
    </row>
    <row r="195" spans="1:5" x14ac:dyDescent="0.4">
      <c r="A195" t="s">
        <v>19</v>
      </c>
      <c r="B195" t="s">
        <v>38</v>
      </c>
      <c r="C195" s="3">
        <v>6557</v>
      </c>
      <c r="D195">
        <f>VLOOKUP(表1_[[#This Row],[地区]],Sheet2!A:B,2,0)</f>
        <v>450000</v>
      </c>
      <c r="E195">
        <f>表1_[[#This Row],[年份]]+表1_[[#This Row],[行政区划]]</f>
        <v>452017</v>
      </c>
    </row>
    <row r="196" spans="1:5" x14ac:dyDescent="0.4">
      <c r="A196" t="s">
        <v>19</v>
      </c>
      <c r="B196" t="s">
        <v>39</v>
      </c>
      <c r="C196" s="3">
        <v>6846</v>
      </c>
      <c r="D196">
        <f>VLOOKUP(表1_[[#This Row],[地区]],Sheet2!A:B,2,0)</f>
        <v>450000</v>
      </c>
      <c r="E196">
        <f>表1_[[#This Row],[年份]]+表1_[[#This Row],[行政区划]]</f>
        <v>452018</v>
      </c>
    </row>
    <row r="197" spans="1:5" x14ac:dyDescent="0.4">
      <c r="A197" t="s">
        <v>19</v>
      </c>
      <c r="B197" t="s">
        <v>40</v>
      </c>
      <c r="C197" s="3">
        <v>8176</v>
      </c>
      <c r="D197">
        <f>VLOOKUP(表1_[[#This Row],[地区]],Sheet2!A:B,2,0)</f>
        <v>450000</v>
      </c>
      <c r="E197">
        <f>表1_[[#This Row],[年份]]+表1_[[#This Row],[行政区划]]</f>
        <v>452019</v>
      </c>
    </row>
    <row r="198" spans="1:5" x14ac:dyDescent="0.4">
      <c r="A198" t="s">
        <v>19</v>
      </c>
      <c r="B198" t="s">
        <v>41</v>
      </c>
      <c r="C198" s="3">
        <v>8667</v>
      </c>
      <c r="D198">
        <f>VLOOKUP(表1_[[#This Row],[地区]],Sheet2!A:B,2,0)</f>
        <v>450000</v>
      </c>
      <c r="E198">
        <f>表1_[[#This Row],[年份]]+表1_[[#This Row],[行政区划]]</f>
        <v>452020</v>
      </c>
    </row>
    <row r="199" spans="1:5" x14ac:dyDescent="0.4">
      <c r="A199" t="s">
        <v>19</v>
      </c>
      <c r="B199" t="s">
        <v>42</v>
      </c>
      <c r="C199" s="3">
        <v>14995</v>
      </c>
      <c r="D199">
        <f>VLOOKUP(表1_[[#This Row],[地区]],Sheet2!A:B,2,0)</f>
        <v>450000</v>
      </c>
      <c r="E199">
        <f>表1_[[#This Row],[年份]]+表1_[[#This Row],[行政区划]]</f>
        <v>452021</v>
      </c>
    </row>
    <row r="200" spans="1:5" x14ac:dyDescent="0.4">
      <c r="A200" t="s">
        <v>19</v>
      </c>
      <c r="B200" t="s">
        <v>43</v>
      </c>
      <c r="C200" s="3">
        <v>12721</v>
      </c>
      <c r="D200">
        <f>VLOOKUP(表1_[[#This Row],[地区]],Sheet2!A:B,2,0)</f>
        <v>450000</v>
      </c>
      <c r="E200">
        <f>表1_[[#This Row],[年份]]+表1_[[#This Row],[行政区划]]</f>
        <v>452022</v>
      </c>
    </row>
    <row r="201" spans="1:5" x14ac:dyDescent="0.4">
      <c r="A201" t="s">
        <v>19</v>
      </c>
      <c r="B201" t="s">
        <v>44</v>
      </c>
      <c r="C201" s="3">
        <v>15301</v>
      </c>
      <c r="D201">
        <f>VLOOKUP(表1_[[#This Row],[地区]],Sheet2!A:B,2,0)</f>
        <v>450000</v>
      </c>
      <c r="E201">
        <f>表1_[[#This Row],[年份]]+表1_[[#This Row],[行政区划]]</f>
        <v>452023</v>
      </c>
    </row>
    <row r="202" spans="1:5" x14ac:dyDescent="0.4">
      <c r="A202" t="s">
        <v>20</v>
      </c>
      <c r="B202" t="s">
        <v>35</v>
      </c>
      <c r="C202" s="3">
        <v>1217</v>
      </c>
      <c r="D202">
        <f>VLOOKUP(表1_[[#This Row],[地区]],Sheet2!A:B,2,0)</f>
        <v>460000</v>
      </c>
      <c r="E202">
        <f>表1_[[#This Row],[年份]]+表1_[[#This Row],[行政区划]]</f>
        <v>462014</v>
      </c>
    </row>
    <row r="203" spans="1:5" x14ac:dyDescent="0.4">
      <c r="A203" t="s">
        <v>20</v>
      </c>
      <c r="B203" t="s">
        <v>36</v>
      </c>
      <c r="C203" s="3">
        <v>1378</v>
      </c>
      <c r="D203">
        <f>VLOOKUP(表1_[[#This Row],[地区]],Sheet2!A:B,2,0)</f>
        <v>460000</v>
      </c>
      <c r="E203">
        <f>表1_[[#This Row],[年份]]+表1_[[#This Row],[行政区划]]</f>
        <v>462015</v>
      </c>
    </row>
    <row r="204" spans="1:5" x14ac:dyDescent="0.4">
      <c r="A204" t="s">
        <v>20</v>
      </c>
      <c r="B204" t="s">
        <v>37</v>
      </c>
      <c r="C204" s="3">
        <v>1657</v>
      </c>
      <c r="D204">
        <f>VLOOKUP(表1_[[#This Row],[地区]],Sheet2!A:B,2,0)</f>
        <v>460000</v>
      </c>
      <c r="E204">
        <f>表1_[[#This Row],[年份]]+表1_[[#This Row],[行政区划]]</f>
        <v>462016</v>
      </c>
    </row>
    <row r="205" spans="1:5" x14ac:dyDescent="0.4">
      <c r="A205" t="s">
        <v>20</v>
      </c>
      <c r="B205" t="s">
        <v>38</v>
      </c>
      <c r="C205" s="3">
        <v>1656</v>
      </c>
      <c r="D205">
        <f>VLOOKUP(表1_[[#This Row],[地区]],Sheet2!A:B,2,0)</f>
        <v>460000</v>
      </c>
      <c r="E205">
        <f>表1_[[#This Row],[年份]]+表1_[[#This Row],[行政区划]]</f>
        <v>462017</v>
      </c>
    </row>
    <row r="206" spans="1:5" x14ac:dyDescent="0.4">
      <c r="A206" t="s">
        <v>20</v>
      </c>
      <c r="B206" t="s">
        <v>39</v>
      </c>
      <c r="C206" s="3">
        <v>1258</v>
      </c>
      <c r="D206">
        <f>VLOOKUP(表1_[[#This Row],[地区]],Sheet2!A:B,2,0)</f>
        <v>460000</v>
      </c>
      <c r="E206">
        <f>表1_[[#This Row],[年份]]+表1_[[#This Row],[行政区划]]</f>
        <v>462018</v>
      </c>
    </row>
    <row r="207" spans="1:5" x14ac:dyDescent="0.4">
      <c r="A207" t="s">
        <v>20</v>
      </c>
      <c r="B207" t="s">
        <v>40</v>
      </c>
      <c r="C207" s="3">
        <v>1501</v>
      </c>
      <c r="D207">
        <f>VLOOKUP(表1_[[#This Row],[地区]],Sheet2!A:B,2,0)</f>
        <v>460000</v>
      </c>
      <c r="E207">
        <f>表1_[[#This Row],[年份]]+表1_[[#This Row],[行政区划]]</f>
        <v>462019</v>
      </c>
    </row>
    <row r="208" spans="1:5" x14ac:dyDescent="0.4">
      <c r="A208" t="s">
        <v>20</v>
      </c>
      <c r="B208" t="s">
        <v>41</v>
      </c>
      <c r="C208" s="3">
        <v>1875</v>
      </c>
      <c r="D208">
        <f>VLOOKUP(表1_[[#This Row],[地区]],Sheet2!A:B,2,0)</f>
        <v>460000</v>
      </c>
      <c r="E208">
        <f>表1_[[#This Row],[年份]]+表1_[[#This Row],[行政区划]]</f>
        <v>462020</v>
      </c>
    </row>
    <row r="209" spans="1:5" x14ac:dyDescent="0.4">
      <c r="A209" t="s">
        <v>20</v>
      </c>
      <c r="B209" t="s">
        <v>42</v>
      </c>
      <c r="C209" s="3">
        <v>2348</v>
      </c>
      <c r="D209">
        <f>VLOOKUP(表1_[[#This Row],[地区]],Sheet2!A:B,2,0)</f>
        <v>460000</v>
      </c>
      <c r="E209">
        <f>表1_[[#This Row],[年份]]+表1_[[#This Row],[行政区划]]</f>
        <v>462021</v>
      </c>
    </row>
    <row r="210" spans="1:5" x14ac:dyDescent="0.4">
      <c r="A210" t="s">
        <v>20</v>
      </c>
      <c r="B210" t="s">
        <v>43</v>
      </c>
      <c r="C210" s="3">
        <v>2873</v>
      </c>
      <c r="D210">
        <f>VLOOKUP(表1_[[#This Row],[地区]],Sheet2!A:B,2,0)</f>
        <v>460000</v>
      </c>
      <c r="E210">
        <f>表1_[[#This Row],[年份]]+表1_[[#This Row],[行政区划]]</f>
        <v>462022</v>
      </c>
    </row>
    <row r="211" spans="1:5" x14ac:dyDescent="0.4">
      <c r="A211" t="s">
        <v>20</v>
      </c>
      <c r="B211" t="s">
        <v>44</v>
      </c>
      <c r="C211" s="3">
        <v>3024</v>
      </c>
      <c r="D211">
        <f>VLOOKUP(表1_[[#This Row],[地区]],Sheet2!A:B,2,0)</f>
        <v>460000</v>
      </c>
      <c r="E211">
        <f>表1_[[#This Row],[年份]]+表1_[[#This Row],[行政区划]]</f>
        <v>462023</v>
      </c>
    </row>
    <row r="212" spans="1:5" x14ac:dyDescent="0.4">
      <c r="A212" t="s">
        <v>21</v>
      </c>
      <c r="B212" t="s">
        <v>35</v>
      </c>
      <c r="C212" s="3">
        <v>6272</v>
      </c>
      <c r="D212">
        <f>VLOOKUP(表1_[[#This Row],[地区]],Sheet2!A:B,2,0)</f>
        <v>500000</v>
      </c>
      <c r="E212">
        <f>表1_[[#This Row],[年份]]+表1_[[#This Row],[行政区划]]</f>
        <v>502014</v>
      </c>
    </row>
    <row r="213" spans="1:5" x14ac:dyDescent="0.4">
      <c r="A213" t="s">
        <v>21</v>
      </c>
      <c r="B213" t="s">
        <v>36</v>
      </c>
      <c r="C213" s="3">
        <v>6328</v>
      </c>
      <c r="D213">
        <f>VLOOKUP(表1_[[#This Row],[地区]],Sheet2!A:B,2,0)</f>
        <v>500000</v>
      </c>
      <c r="E213">
        <f>表1_[[#This Row],[年份]]+表1_[[#This Row],[行政区划]]</f>
        <v>502015</v>
      </c>
    </row>
    <row r="214" spans="1:5" x14ac:dyDescent="0.4">
      <c r="A214" t="s">
        <v>21</v>
      </c>
      <c r="B214" t="s">
        <v>37</v>
      </c>
      <c r="C214" s="3">
        <v>8585</v>
      </c>
      <c r="D214">
        <f>VLOOKUP(表1_[[#This Row],[地区]],Sheet2!A:B,2,0)</f>
        <v>500000</v>
      </c>
      <c r="E214">
        <f>表1_[[#This Row],[年份]]+表1_[[#This Row],[行政区划]]</f>
        <v>502016</v>
      </c>
    </row>
    <row r="215" spans="1:5" x14ac:dyDescent="0.4">
      <c r="A215" t="s">
        <v>21</v>
      </c>
      <c r="B215" t="s">
        <v>38</v>
      </c>
      <c r="C215" s="3">
        <v>12472</v>
      </c>
      <c r="D215">
        <f>VLOOKUP(表1_[[#This Row],[地区]],Sheet2!A:B,2,0)</f>
        <v>500000</v>
      </c>
      <c r="E215">
        <f>表1_[[#This Row],[年份]]+表1_[[#This Row],[行政区划]]</f>
        <v>502017</v>
      </c>
    </row>
    <row r="216" spans="1:5" x14ac:dyDescent="0.4">
      <c r="A216" t="s">
        <v>21</v>
      </c>
      <c r="B216" t="s">
        <v>39</v>
      </c>
      <c r="C216" s="3">
        <v>17579</v>
      </c>
      <c r="D216">
        <f>VLOOKUP(表1_[[#This Row],[地区]],Sheet2!A:B,2,0)</f>
        <v>500000</v>
      </c>
      <c r="E216">
        <f>表1_[[#This Row],[年份]]+表1_[[#This Row],[行政区划]]</f>
        <v>502018</v>
      </c>
    </row>
    <row r="217" spans="1:5" x14ac:dyDescent="0.4">
      <c r="A217" t="s">
        <v>21</v>
      </c>
      <c r="B217" t="s">
        <v>40</v>
      </c>
      <c r="C217" s="3">
        <v>18281</v>
      </c>
      <c r="D217">
        <f>VLOOKUP(表1_[[#This Row],[地区]],Sheet2!A:B,2,0)</f>
        <v>500000</v>
      </c>
      <c r="E217">
        <f>表1_[[#This Row],[年份]]+表1_[[#This Row],[行政区划]]</f>
        <v>502019</v>
      </c>
    </row>
    <row r="218" spans="1:5" x14ac:dyDescent="0.4">
      <c r="A218" t="s">
        <v>21</v>
      </c>
      <c r="B218" t="s">
        <v>41</v>
      </c>
      <c r="C218" s="3">
        <v>20650</v>
      </c>
      <c r="D218">
        <f>VLOOKUP(表1_[[#This Row],[地区]],Sheet2!A:B,2,0)</f>
        <v>500000</v>
      </c>
      <c r="E218">
        <f>表1_[[#This Row],[年份]]+表1_[[#This Row],[行政区划]]</f>
        <v>502020</v>
      </c>
    </row>
    <row r="219" spans="1:5" x14ac:dyDescent="0.4">
      <c r="A219" t="s">
        <v>21</v>
      </c>
      <c r="B219" t="s">
        <v>42</v>
      </c>
      <c r="C219" s="3">
        <v>24388</v>
      </c>
      <c r="D219">
        <f>VLOOKUP(表1_[[#This Row],[地区]],Sheet2!A:B,2,0)</f>
        <v>500000</v>
      </c>
      <c r="E219">
        <f>表1_[[#This Row],[年份]]+表1_[[#This Row],[行政区划]]</f>
        <v>502021</v>
      </c>
    </row>
    <row r="220" spans="1:5" x14ac:dyDescent="0.4">
      <c r="A220" t="s">
        <v>21</v>
      </c>
      <c r="B220" t="s">
        <v>43</v>
      </c>
      <c r="C220" s="3">
        <v>27681</v>
      </c>
      <c r="D220">
        <f>VLOOKUP(表1_[[#This Row],[地区]],Sheet2!A:B,2,0)</f>
        <v>500000</v>
      </c>
      <c r="E220">
        <f>表1_[[#This Row],[年份]]+表1_[[#This Row],[行政区划]]</f>
        <v>502022</v>
      </c>
    </row>
    <row r="221" spans="1:5" x14ac:dyDescent="0.4">
      <c r="A221" t="s">
        <v>21</v>
      </c>
      <c r="B221" t="s">
        <v>44</v>
      </c>
      <c r="C221" s="3">
        <v>29767</v>
      </c>
      <c r="D221">
        <f>VLOOKUP(表1_[[#This Row],[地区]],Sheet2!A:B,2,0)</f>
        <v>500000</v>
      </c>
      <c r="E221">
        <f>表1_[[#This Row],[年份]]+表1_[[#This Row],[行政区划]]</f>
        <v>502023</v>
      </c>
    </row>
    <row r="222" spans="1:5" x14ac:dyDescent="0.4">
      <c r="A222" t="s">
        <v>22</v>
      </c>
      <c r="B222" t="s">
        <v>35</v>
      </c>
      <c r="C222" s="3">
        <v>15893</v>
      </c>
      <c r="D222">
        <f>VLOOKUP(表1_[[#This Row],[地区]],Sheet2!A:B,2,0)</f>
        <v>510000</v>
      </c>
      <c r="E222">
        <f>表1_[[#This Row],[年份]]+表1_[[#This Row],[行政区划]]</f>
        <v>512014</v>
      </c>
    </row>
    <row r="223" spans="1:5" x14ac:dyDescent="0.4">
      <c r="A223" t="s">
        <v>22</v>
      </c>
      <c r="B223" t="s">
        <v>36</v>
      </c>
      <c r="C223" s="3">
        <v>17601</v>
      </c>
      <c r="D223">
        <f>VLOOKUP(表1_[[#This Row],[地区]],Sheet2!A:B,2,0)</f>
        <v>510000</v>
      </c>
      <c r="E223">
        <f>表1_[[#This Row],[年份]]+表1_[[#This Row],[行政区划]]</f>
        <v>512015</v>
      </c>
    </row>
    <row r="224" spans="1:5" x14ac:dyDescent="0.4">
      <c r="A224" t="s">
        <v>22</v>
      </c>
      <c r="B224" t="s">
        <v>37</v>
      </c>
      <c r="C224" s="3">
        <v>24065</v>
      </c>
      <c r="D224">
        <f>VLOOKUP(表1_[[#This Row],[地区]],Sheet2!A:B,2,0)</f>
        <v>510000</v>
      </c>
      <c r="E224">
        <f>表1_[[#This Row],[年份]]+表1_[[#This Row],[行政区划]]</f>
        <v>512016</v>
      </c>
    </row>
    <row r="225" spans="1:5" x14ac:dyDescent="0.4">
      <c r="A225" t="s">
        <v>22</v>
      </c>
      <c r="B225" t="s">
        <v>38</v>
      </c>
      <c r="C225" s="3">
        <v>32598</v>
      </c>
      <c r="D225">
        <f>VLOOKUP(表1_[[#This Row],[地区]],Sheet2!A:B,2,0)</f>
        <v>510000</v>
      </c>
      <c r="E225">
        <f>表1_[[#This Row],[年份]]+表1_[[#This Row],[行政区划]]</f>
        <v>512017</v>
      </c>
    </row>
    <row r="226" spans="1:5" x14ac:dyDescent="0.4">
      <c r="A226" t="s">
        <v>22</v>
      </c>
      <c r="B226" t="s">
        <v>39</v>
      </c>
      <c r="C226" s="3">
        <v>35959</v>
      </c>
      <c r="D226">
        <f>VLOOKUP(表1_[[#This Row],[地区]],Sheet2!A:B,2,0)</f>
        <v>510000</v>
      </c>
      <c r="E226">
        <f>表1_[[#This Row],[年份]]+表1_[[#This Row],[行政区划]]</f>
        <v>512018</v>
      </c>
    </row>
    <row r="227" spans="1:5" x14ac:dyDescent="0.4">
      <c r="A227" t="s">
        <v>22</v>
      </c>
      <c r="B227" t="s">
        <v>40</v>
      </c>
      <c r="C227" s="3">
        <v>39658</v>
      </c>
      <c r="D227">
        <f>VLOOKUP(表1_[[#This Row],[地区]],Sheet2!A:B,2,0)</f>
        <v>510000</v>
      </c>
      <c r="E227">
        <f>表1_[[#This Row],[年份]]+表1_[[#This Row],[行政区划]]</f>
        <v>512019</v>
      </c>
    </row>
    <row r="228" spans="1:5" x14ac:dyDescent="0.4">
      <c r="A228" t="s">
        <v>22</v>
      </c>
      <c r="B228" t="s">
        <v>41</v>
      </c>
      <c r="C228" s="3">
        <v>42114</v>
      </c>
      <c r="D228">
        <f>VLOOKUP(表1_[[#This Row],[地区]],Sheet2!A:B,2,0)</f>
        <v>510000</v>
      </c>
      <c r="E228">
        <f>表1_[[#This Row],[年份]]+表1_[[#This Row],[行政区划]]</f>
        <v>512020</v>
      </c>
    </row>
    <row r="229" spans="1:5" x14ac:dyDescent="0.4">
      <c r="A229" t="s">
        <v>22</v>
      </c>
      <c r="B229" t="s">
        <v>42</v>
      </c>
      <c r="C229" s="3">
        <v>48898</v>
      </c>
      <c r="D229">
        <f>VLOOKUP(表1_[[#This Row],[地区]],Sheet2!A:B,2,0)</f>
        <v>510000</v>
      </c>
      <c r="E229">
        <f>表1_[[#This Row],[年份]]+表1_[[#This Row],[行政区划]]</f>
        <v>512021</v>
      </c>
    </row>
    <row r="230" spans="1:5" x14ac:dyDescent="0.4">
      <c r="A230" t="s">
        <v>22</v>
      </c>
      <c r="B230" t="s">
        <v>43</v>
      </c>
      <c r="C230" s="3">
        <v>57722</v>
      </c>
      <c r="D230">
        <f>VLOOKUP(表1_[[#This Row],[地区]],Sheet2!A:B,2,0)</f>
        <v>510000</v>
      </c>
      <c r="E230">
        <f>表1_[[#This Row],[年份]]+表1_[[#This Row],[行政区划]]</f>
        <v>512022</v>
      </c>
    </row>
    <row r="231" spans="1:5" x14ac:dyDescent="0.4">
      <c r="A231" t="s">
        <v>22</v>
      </c>
      <c r="B231" t="s">
        <v>44</v>
      </c>
      <c r="C231" s="3">
        <v>62570</v>
      </c>
      <c r="D231">
        <f>VLOOKUP(表1_[[#This Row],[地区]],Sheet2!A:B,2,0)</f>
        <v>510000</v>
      </c>
      <c r="E231">
        <f>表1_[[#This Row],[年份]]+表1_[[#This Row],[行政区划]]</f>
        <v>512023</v>
      </c>
    </row>
    <row r="232" spans="1:5" x14ac:dyDescent="0.4">
      <c r="A232" t="s">
        <v>23</v>
      </c>
      <c r="B232" t="s">
        <v>35</v>
      </c>
      <c r="C232" s="3">
        <v>3146</v>
      </c>
      <c r="D232">
        <f>VLOOKUP(表1_[[#This Row],[地区]],Sheet2!A:B,2,0)</f>
        <v>520000</v>
      </c>
      <c r="E232">
        <f>表1_[[#This Row],[年份]]+表1_[[#This Row],[行政区划]]</f>
        <v>522014</v>
      </c>
    </row>
    <row r="233" spans="1:5" x14ac:dyDescent="0.4">
      <c r="A233" t="s">
        <v>23</v>
      </c>
      <c r="B233" t="s">
        <v>36</v>
      </c>
      <c r="C233" s="3">
        <v>4096</v>
      </c>
      <c r="D233">
        <f>VLOOKUP(表1_[[#This Row],[地区]],Sheet2!A:B,2,0)</f>
        <v>520000</v>
      </c>
      <c r="E233">
        <f>表1_[[#This Row],[年份]]+表1_[[#This Row],[行政区划]]</f>
        <v>522015</v>
      </c>
    </row>
    <row r="234" spans="1:5" x14ac:dyDescent="0.4">
      <c r="A234" t="s">
        <v>23</v>
      </c>
      <c r="B234" t="s">
        <v>37</v>
      </c>
      <c r="C234" s="3">
        <v>5411</v>
      </c>
      <c r="D234">
        <f>VLOOKUP(表1_[[#This Row],[地区]],Sheet2!A:B,2,0)</f>
        <v>520000</v>
      </c>
      <c r="E234">
        <f>表1_[[#This Row],[年份]]+表1_[[#This Row],[行政区划]]</f>
        <v>522016</v>
      </c>
    </row>
    <row r="235" spans="1:5" x14ac:dyDescent="0.4">
      <c r="A235" t="s">
        <v>23</v>
      </c>
      <c r="B235" t="s">
        <v>38</v>
      </c>
      <c r="C235" s="3">
        <v>6805</v>
      </c>
      <c r="D235">
        <f>VLOOKUP(表1_[[#This Row],[地区]],Sheet2!A:B,2,0)</f>
        <v>520000</v>
      </c>
      <c r="E235">
        <f>表1_[[#This Row],[年份]]+表1_[[#This Row],[行政区划]]</f>
        <v>522017</v>
      </c>
    </row>
    <row r="236" spans="1:5" x14ac:dyDescent="0.4">
      <c r="A236" t="s">
        <v>23</v>
      </c>
      <c r="B236" t="s">
        <v>39</v>
      </c>
      <c r="C236" s="3">
        <v>6544</v>
      </c>
      <c r="D236">
        <f>VLOOKUP(表1_[[#This Row],[地区]],Sheet2!A:B,2,0)</f>
        <v>520000</v>
      </c>
      <c r="E236">
        <f>表1_[[#This Row],[年份]]+表1_[[#This Row],[行政区划]]</f>
        <v>522018</v>
      </c>
    </row>
    <row r="237" spans="1:5" x14ac:dyDescent="0.4">
      <c r="A237" t="s">
        <v>23</v>
      </c>
      <c r="B237" t="s">
        <v>40</v>
      </c>
      <c r="C237" s="3">
        <v>7740</v>
      </c>
      <c r="D237">
        <f>VLOOKUP(表1_[[#This Row],[地区]],Sheet2!A:B,2,0)</f>
        <v>520000</v>
      </c>
      <c r="E237">
        <f>表1_[[#This Row],[年份]]+表1_[[#This Row],[行政区划]]</f>
        <v>522019</v>
      </c>
    </row>
    <row r="238" spans="1:5" x14ac:dyDescent="0.4">
      <c r="A238" t="s">
        <v>23</v>
      </c>
      <c r="B238" t="s">
        <v>41</v>
      </c>
      <c r="C238" s="3">
        <v>8487</v>
      </c>
      <c r="D238">
        <f>VLOOKUP(表1_[[#This Row],[地区]],Sheet2!A:B,2,0)</f>
        <v>520000</v>
      </c>
      <c r="E238">
        <f>表1_[[#This Row],[年份]]+表1_[[#This Row],[行政区划]]</f>
        <v>522020</v>
      </c>
    </row>
    <row r="239" spans="1:5" x14ac:dyDescent="0.4">
      <c r="A239" t="s">
        <v>23</v>
      </c>
      <c r="B239" t="s">
        <v>42</v>
      </c>
      <c r="C239" s="3">
        <v>9357</v>
      </c>
      <c r="D239">
        <f>VLOOKUP(表1_[[#This Row],[地区]],Sheet2!A:B,2,0)</f>
        <v>520000</v>
      </c>
      <c r="E239">
        <f>表1_[[#This Row],[年份]]+表1_[[#This Row],[行政区划]]</f>
        <v>522021</v>
      </c>
    </row>
    <row r="240" spans="1:5" x14ac:dyDescent="0.4">
      <c r="A240" t="s">
        <v>23</v>
      </c>
      <c r="B240" t="s">
        <v>43</v>
      </c>
      <c r="C240" s="3">
        <v>10342</v>
      </c>
      <c r="D240">
        <f>VLOOKUP(表1_[[#This Row],[地区]],Sheet2!A:B,2,0)</f>
        <v>520000</v>
      </c>
      <c r="E240">
        <f>表1_[[#This Row],[年份]]+表1_[[#This Row],[行政区划]]</f>
        <v>522022</v>
      </c>
    </row>
    <row r="241" spans="1:5" x14ac:dyDescent="0.4">
      <c r="A241" t="s">
        <v>23</v>
      </c>
      <c r="B241" t="s">
        <v>44</v>
      </c>
      <c r="C241" s="3">
        <v>8168</v>
      </c>
      <c r="D241">
        <f>VLOOKUP(表1_[[#This Row],[地区]],Sheet2!A:B,2,0)</f>
        <v>520000</v>
      </c>
      <c r="E241">
        <f>表1_[[#This Row],[年份]]+表1_[[#This Row],[行政区划]]</f>
        <v>522023</v>
      </c>
    </row>
    <row r="242" spans="1:5" x14ac:dyDescent="0.4">
      <c r="A242" t="s">
        <v>24</v>
      </c>
      <c r="B242" t="s">
        <v>35</v>
      </c>
      <c r="C242" s="3">
        <v>2865</v>
      </c>
      <c r="D242">
        <f>VLOOKUP(表1_[[#This Row],[地区]],Sheet2!A:B,2,0)</f>
        <v>530000</v>
      </c>
      <c r="E242">
        <f>表1_[[#This Row],[年份]]+表1_[[#This Row],[行政区划]]</f>
        <v>532014</v>
      </c>
    </row>
    <row r="243" spans="1:5" x14ac:dyDescent="0.4">
      <c r="A243" t="s">
        <v>24</v>
      </c>
      <c r="B243" t="s">
        <v>36</v>
      </c>
      <c r="C243" s="3">
        <v>4605</v>
      </c>
      <c r="D243">
        <f>VLOOKUP(表1_[[#This Row],[地区]],Sheet2!A:B,2,0)</f>
        <v>530000</v>
      </c>
      <c r="E243">
        <f>表1_[[#This Row],[年份]]+表1_[[#This Row],[行政区划]]</f>
        <v>532015</v>
      </c>
    </row>
    <row r="244" spans="1:5" x14ac:dyDescent="0.4">
      <c r="A244" t="s">
        <v>24</v>
      </c>
      <c r="B244" t="s">
        <v>37</v>
      </c>
      <c r="C244" s="3">
        <v>5880</v>
      </c>
      <c r="D244">
        <f>VLOOKUP(表1_[[#This Row],[地区]],Sheet2!A:B,2,0)</f>
        <v>530000</v>
      </c>
      <c r="E244">
        <f>表1_[[#This Row],[年份]]+表1_[[#This Row],[行政区划]]</f>
        <v>532016</v>
      </c>
    </row>
    <row r="245" spans="1:5" x14ac:dyDescent="0.4">
      <c r="A245" t="s">
        <v>24</v>
      </c>
      <c r="B245" t="s">
        <v>38</v>
      </c>
      <c r="C245" s="3">
        <v>6510</v>
      </c>
      <c r="D245">
        <f>VLOOKUP(表1_[[#This Row],[地区]],Sheet2!A:B,2,0)</f>
        <v>530000</v>
      </c>
      <c r="E245">
        <f>表1_[[#This Row],[年份]]+表1_[[#This Row],[行政区划]]</f>
        <v>532017</v>
      </c>
    </row>
    <row r="246" spans="1:5" x14ac:dyDescent="0.4">
      <c r="A246" t="s">
        <v>24</v>
      </c>
      <c r="B246" t="s">
        <v>39</v>
      </c>
      <c r="C246" s="3">
        <v>6466</v>
      </c>
      <c r="D246">
        <f>VLOOKUP(表1_[[#This Row],[地区]],Sheet2!A:B,2,0)</f>
        <v>530000</v>
      </c>
      <c r="E246">
        <f>表1_[[#This Row],[年份]]+表1_[[#This Row],[行政区划]]</f>
        <v>532018</v>
      </c>
    </row>
    <row r="247" spans="1:5" x14ac:dyDescent="0.4">
      <c r="A247" t="s">
        <v>24</v>
      </c>
      <c r="B247" t="s">
        <v>40</v>
      </c>
      <c r="C247" s="3">
        <v>10131</v>
      </c>
      <c r="D247">
        <f>VLOOKUP(表1_[[#This Row],[地区]],Sheet2!A:B,2,0)</f>
        <v>530000</v>
      </c>
      <c r="E247">
        <f>表1_[[#This Row],[年份]]+表1_[[#This Row],[行政区划]]</f>
        <v>532019</v>
      </c>
    </row>
    <row r="248" spans="1:5" x14ac:dyDescent="0.4">
      <c r="A248" t="s">
        <v>24</v>
      </c>
      <c r="B248" t="s">
        <v>41</v>
      </c>
      <c r="C248" s="3">
        <v>9515</v>
      </c>
      <c r="D248">
        <f>VLOOKUP(表1_[[#This Row],[地区]],Sheet2!A:B,2,0)</f>
        <v>530000</v>
      </c>
      <c r="E248">
        <f>表1_[[#This Row],[年份]]+表1_[[#This Row],[行政区划]]</f>
        <v>532020</v>
      </c>
    </row>
    <row r="249" spans="1:5" x14ac:dyDescent="0.4">
      <c r="A249" t="s">
        <v>24</v>
      </c>
      <c r="B249" t="s">
        <v>42</v>
      </c>
      <c r="C249" s="3">
        <v>11021</v>
      </c>
      <c r="D249">
        <f>VLOOKUP(表1_[[#This Row],[地区]],Sheet2!A:B,2,0)</f>
        <v>530000</v>
      </c>
      <c r="E249">
        <f>表1_[[#This Row],[年份]]+表1_[[#This Row],[行政区划]]</f>
        <v>532021</v>
      </c>
    </row>
    <row r="250" spans="1:5" x14ac:dyDescent="0.4">
      <c r="A250" t="s">
        <v>24</v>
      </c>
      <c r="B250" t="s">
        <v>43</v>
      </c>
      <c r="C250" s="3">
        <v>14054</v>
      </c>
      <c r="D250">
        <f>VLOOKUP(表1_[[#This Row],[地区]],Sheet2!A:B,2,0)</f>
        <v>530000</v>
      </c>
      <c r="E250">
        <f>表1_[[#This Row],[年份]]+表1_[[#This Row],[行政区划]]</f>
        <v>532022</v>
      </c>
    </row>
    <row r="251" spans="1:5" x14ac:dyDescent="0.4">
      <c r="A251" t="s">
        <v>24</v>
      </c>
      <c r="B251" t="s">
        <v>44</v>
      </c>
      <c r="C251" s="3">
        <v>14217</v>
      </c>
      <c r="D251">
        <f>VLOOKUP(表1_[[#This Row],[地区]],Sheet2!A:B,2,0)</f>
        <v>530000</v>
      </c>
      <c r="E251">
        <f>表1_[[#This Row],[年份]]+表1_[[#This Row],[行政区划]]</f>
        <v>532023</v>
      </c>
    </row>
    <row r="252" spans="1:5" x14ac:dyDescent="0.4">
      <c r="A252" t="s">
        <v>25</v>
      </c>
      <c r="B252" t="s">
        <v>35</v>
      </c>
      <c r="C252" s="3">
        <v>6675</v>
      </c>
      <c r="D252">
        <f>VLOOKUP(表1_[[#This Row],[地区]],Sheet2!A:B,2,0)</f>
        <v>610000</v>
      </c>
      <c r="E252">
        <f>表1_[[#This Row],[年份]]+表1_[[#This Row],[行政区划]]</f>
        <v>612014</v>
      </c>
    </row>
    <row r="253" spans="1:5" x14ac:dyDescent="0.4">
      <c r="A253" t="s">
        <v>25</v>
      </c>
      <c r="B253" t="s">
        <v>36</v>
      </c>
      <c r="C253" s="3">
        <v>7506</v>
      </c>
      <c r="D253">
        <f>VLOOKUP(表1_[[#This Row],[地区]],Sheet2!A:B,2,0)</f>
        <v>610000</v>
      </c>
      <c r="E253">
        <f>表1_[[#This Row],[年份]]+表1_[[#This Row],[行政区划]]</f>
        <v>612015</v>
      </c>
    </row>
    <row r="254" spans="1:5" x14ac:dyDescent="0.4">
      <c r="A254" t="s">
        <v>25</v>
      </c>
      <c r="B254" t="s">
        <v>37</v>
      </c>
      <c r="C254" s="3">
        <v>11520</v>
      </c>
      <c r="D254">
        <f>VLOOKUP(表1_[[#This Row],[地区]],Sheet2!A:B,2,0)</f>
        <v>610000</v>
      </c>
      <c r="E254">
        <f>表1_[[#This Row],[年份]]+表1_[[#This Row],[行政区划]]</f>
        <v>612016</v>
      </c>
    </row>
    <row r="255" spans="1:5" x14ac:dyDescent="0.4">
      <c r="A255" t="s">
        <v>25</v>
      </c>
      <c r="B255" t="s">
        <v>38</v>
      </c>
      <c r="C255" s="3">
        <v>14806</v>
      </c>
      <c r="D255">
        <f>VLOOKUP(表1_[[#This Row],[地区]],Sheet2!A:B,2,0)</f>
        <v>610000</v>
      </c>
      <c r="E255">
        <f>表1_[[#This Row],[年份]]+表1_[[#This Row],[行政区划]]</f>
        <v>612017</v>
      </c>
    </row>
    <row r="256" spans="1:5" x14ac:dyDescent="0.4">
      <c r="A256" t="s">
        <v>25</v>
      </c>
      <c r="B256" t="s">
        <v>39</v>
      </c>
      <c r="C256" s="3">
        <v>16892</v>
      </c>
      <c r="D256">
        <f>VLOOKUP(表1_[[#This Row],[地区]],Sheet2!A:B,2,0)</f>
        <v>610000</v>
      </c>
      <c r="E256">
        <f>表1_[[#This Row],[年份]]+表1_[[#This Row],[行政区划]]</f>
        <v>612018</v>
      </c>
    </row>
    <row r="257" spans="1:5" x14ac:dyDescent="0.4">
      <c r="A257" t="s">
        <v>25</v>
      </c>
      <c r="B257" t="s">
        <v>40</v>
      </c>
      <c r="C257" s="3">
        <v>18774</v>
      </c>
      <c r="D257">
        <f>VLOOKUP(表1_[[#This Row],[地区]],Sheet2!A:B,2,0)</f>
        <v>610000</v>
      </c>
      <c r="E257">
        <f>表1_[[#This Row],[年份]]+表1_[[#This Row],[行政区划]]</f>
        <v>612019</v>
      </c>
    </row>
    <row r="258" spans="1:5" x14ac:dyDescent="0.4">
      <c r="A258" t="s">
        <v>25</v>
      </c>
      <c r="B258" t="s">
        <v>41</v>
      </c>
      <c r="C258" s="3">
        <v>21932</v>
      </c>
      <c r="D258">
        <f>VLOOKUP(表1_[[#This Row],[地区]],Sheet2!A:B,2,0)</f>
        <v>610000</v>
      </c>
      <c r="E258">
        <f>表1_[[#This Row],[年份]]+表1_[[#This Row],[行政区划]]</f>
        <v>612020</v>
      </c>
    </row>
    <row r="259" spans="1:5" x14ac:dyDescent="0.4">
      <c r="A259" t="s">
        <v>25</v>
      </c>
      <c r="B259" t="s">
        <v>42</v>
      </c>
      <c r="C259" s="3">
        <v>24226</v>
      </c>
      <c r="D259">
        <f>VLOOKUP(表1_[[#This Row],[地区]],Sheet2!A:B,2,0)</f>
        <v>610000</v>
      </c>
      <c r="E259">
        <f>表1_[[#This Row],[年份]]+表1_[[#This Row],[行政区划]]</f>
        <v>612021</v>
      </c>
    </row>
    <row r="260" spans="1:5" x14ac:dyDescent="0.4">
      <c r="A260" t="s">
        <v>25</v>
      </c>
      <c r="B260" t="s">
        <v>43</v>
      </c>
      <c r="C260" s="3">
        <v>27942</v>
      </c>
      <c r="D260">
        <f>VLOOKUP(表1_[[#This Row],[地区]],Sheet2!A:B,2,0)</f>
        <v>610000</v>
      </c>
      <c r="E260">
        <f>表1_[[#This Row],[年份]]+表1_[[#This Row],[行政区划]]</f>
        <v>612022</v>
      </c>
    </row>
    <row r="261" spans="1:5" x14ac:dyDescent="0.4">
      <c r="A261" t="s">
        <v>25</v>
      </c>
      <c r="B261" t="s">
        <v>44</v>
      </c>
      <c r="C261" s="3">
        <v>24558</v>
      </c>
      <c r="D261">
        <f>VLOOKUP(表1_[[#This Row],[地区]],Sheet2!A:B,2,0)</f>
        <v>610000</v>
      </c>
      <c r="E261">
        <f>表1_[[#This Row],[年份]]+表1_[[#This Row],[行政区划]]</f>
        <v>612023</v>
      </c>
    </row>
    <row r="262" spans="1:5" x14ac:dyDescent="0.4">
      <c r="A262" t="s">
        <v>26</v>
      </c>
      <c r="B262" t="s">
        <v>35</v>
      </c>
      <c r="C262" s="3">
        <v>1265</v>
      </c>
      <c r="D262">
        <f>VLOOKUP(表1_[[#This Row],[地区]],Sheet2!A:B,2,0)</f>
        <v>620000</v>
      </c>
      <c r="E262">
        <f>表1_[[#This Row],[年份]]+表1_[[#This Row],[行政区划]]</f>
        <v>622014</v>
      </c>
    </row>
    <row r="263" spans="1:5" x14ac:dyDescent="0.4">
      <c r="A263" t="s">
        <v>26</v>
      </c>
      <c r="B263" t="s">
        <v>36</v>
      </c>
      <c r="C263" s="3">
        <v>1884</v>
      </c>
      <c r="D263">
        <f>VLOOKUP(表1_[[#This Row],[地区]],Sheet2!A:B,2,0)</f>
        <v>620000</v>
      </c>
      <c r="E263">
        <f>表1_[[#This Row],[年份]]+表1_[[#This Row],[行政区划]]</f>
        <v>622015</v>
      </c>
    </row>
    <row r="264" spans="1:5" x14ac:dyDescent="0.4">
      <c r="A264" t="s">
        <v>26</v>
      </c>
      <c r="B264" t="s">
        <v>37</v>
      </c>
      <c r="C264" s="3">
        <v>2427</v>
      </c>
      <c r="D264">
        <f>VLOOKUP(表1_[[#This Row],[地区]],Sheet2!A:B,2,0)</f>
        <v>620000</v>
      </c>
      <c r="E264">
        <f>表1_[[#This Row],[年份]]+表1_[[#This Row],[行政区划]]</f>
        <v>622016</v>
      </c>
    </row>
    <row r="265" spans="1:5" x14ac:dyDescent="0.4">
      <c r="A265" t="s">
        <v>26</v>
      </c>
      <c r="B265" t="s">
        <v>38</v>
      </c>
      <c r="C265" s="3">
        <v>2796</v>
      </c>
      <c r="D265">
        <f>VLOOKUP(表1_[[#This Row],[地区]],Sheet2!A:B,2,0)</f>
        <v>620000</v>
      </c>
      <c r="E265">
        <f>表1_[[#This Row],[年份]]+表1_[[#This Row],[行政区划]]</f>
        <v>622017</v>
      </c>
    </row>
    <row r="266" spans="1:5" x14ac:dyDescent="0.4">
      <c r="A266" t="s">
        <v>26</v>
      </c>
      <c r="B266" t="s">
        <v>39</v>
      </c>
      <c r="C266" s="3">
        <v>3208</v>
      </c>
      <c r="D266">
        <f>VLOOKUP(表1_[[#This Row],[地区]],Sheet2!A:B,2,0)</f>
        <v>620000</v>
      </c>
      <c r="E266">
        <f>表1_[[#This Row],[年份]]+表1_[[#This Row],[行政区划]]</f>
        <v>622018</v>
      </c>
    </row>
    <row r="267" spans="1:5" x14ac:dyDescent="0.4">
      <c r="A267" t="s">
        <v>26</v>
      </c>
      <c r="B267" t="s">
        <v>40</v>
      </c>
      <c r="C267" s="3">
        <v>3413</v>
      </c>
      <c r="D267">
        <f>VLOOKUP(表1_[[#This Row],[地区]],Sheet2!A:B,2,0)</f>
        <v>620000</v>
      </c>
      <c r="E267">
        <f>表1_[[#This Row],[年份]]+表1_[[#This Row],[行政区划]]</f>
        <v>622019</v>
      </c>
    </row>
    <row r="268" spans="1:5" x14ac:dyDescent="0.4">
      <c r="A268" t="s">
        <v>26</v>
      </c>
      <c r="B268" t="s">
        <v>41</v>
      </c>
      <c r="C268" s="3">
        <v>4017</v>
      </c>
      <c r="D268">
        <f>VLOOKUP(表1_[[#This Row],[地区]],Sheet2!A:B,2,0)</f>
        <v>620000</v>
      </c>
      <c r="E268">
        <f>表1_[[#This Row],[年份]]+表1_[[#This Row],[行政区划]]</f>
        <v>622020</v>
      </c>
    </row>
    <row r="269" spans="1:5" x14ac:dyDescent="0.4">
      <c r="A269" t="s">
        <v>26</v>
      </c>
      <c r="B269" t="s">
        <v>42</v>
      </c>
      <c r="C269" s="3">
        <v>4842</v>
      </c>
      <c r="D269">
        <f>VLOOKUP(表1_[[#This Row],[地区]],Sheet2!A:B,2,0)</f>
        <v>620000</v>
      </c>
      <c r="E269">
        <f>表1_[[#This Row],[年份]]+表1_[[#This Row],[行政区划]]</f>
        <v>622021</v>
      </c>
    </row>
    <row r="270" spans="1:5" x14ac:dyDescent="0.4">
      <c r="A270" t="s">
        <v>26</v>
      </c>
      <c r="B270" t="s">
        <v>43</v>
      </c>
      <c r="C270" s="3">
        <v>5733</v>
      </c>
      <c r="D270">
        <f>VLOOKUP(表1_[[#This Row],[地区]],Sheet2!A:B,2,0)</f>
        <v>620000</v>
      </c>
      <c r="E270">
        <f>表1_[[#This Row],[年份]]+表1_[[#This Row],[行政区划]]</f>
        <v>622022</v>
      </c>
    </row>
    <row r="271" spans="1:5" x14ac:dyDescent="0.4">
      <c r="A271" t="s">
        <v>26</v>
      </c>
      <c r="B271" t="s">
        <v>44</v>
      </c>
      <c r="C271" s="3">
        <v>6664</v>
      </c>
      <c r="D271">
        <f>VLOOKUP(表1_[[#This Row],[地区]],Sheet2!A:B,2,0)</f>
        <v>620000</v>
      </c>
      <c r="E271">
        <f>表1_[[#This Row],[年份]]+表1_[[#This Row],[行政区划]]</f>
        <v>622023</v>
      </c>
    </row>
    <row r="272" spans="1:5" x14ac:dyDescent="0.4">
      <c r="A272" t="s">
        <v>27</v>
      </c>
      <c r="B272" t="s">
        <v>35</v>
      </c>
      <c r="C272" s="3">
        <v>246</v>
      </c>
      <c r="D272">
        <f>VLOOKUP(表1_[[#This Row],[地区]],Sheet2!A:B,2,0)</f>
        <v>630000</v>
      </c>
      <c r="E272">
        <f>表1_[[#This Row],[年份]]+表1_[[#This Row],[行政区划]]</f>
        <v>632014</v>
      </c>
    </row>
    <row r="273" spans="1:5" x14ac:dyDescent="0.4">
      <c r="A273" t="s">
        <v>27</v>
      </c>
      <c r="B273" t="s">
        <v>36</v>
      </c>
      <c r="C273" s="3">
        <v>271</v>
      </c>
      <c r="D273">
        <f>VLOOKUP(表1_[[#This Row],[地区]],Sheet2!A:B,2,0)</f>
        <v>630000</v>
      </c>
      <c r="E273">
        <f>表1_[[#This Row],[年份]]+表1_[[#This Row],[行政区划]]</f>
        <v>632015</v>
      </c>
    </row>
    <row r="274" spans="1:5" x14ac:dyDescent="0.4">
      <c r="A274" t="s">
        <v>27</v>
      </c>
      <c r="B274" t="s">
        <v>37</v>
      </c>
      <c r="C274" s="3">
        <v>393</v>
      </c>
      <c r="D274">
        <f>VLOOKUP(表1_[[#This Row],[地区]],Sheet2!A:B,2,0)</f>
        <v>630000</v>
      </c>
      <c r="E274">
        <f>表1_[[#This Row],[年份]]+表1_[[#This Row],[行政区划]]</f>
        <v>632016</v>
      </c>
    </row>
    <row r="275" spans="1:5" x14ac:dyDescent="0.4">
      <c r="A275" t="s">
        <v>27</v>
      </c>
      <c r="B275" t="s">
        <v>38</v>
      </c>
      <c r="C275" s="3">
        <v>399</v>
      </c>
      <c r="D275">
        <f>VLOOKUP(表1_[[#This Row],[地区]],Sheet2!A:B,2,0)</f>
        <v>630000</v>
      </c>
      <c r="E275">
        <f>表1_[[#This Row],[年份]]+表1_[[#This Row],[行政区划]]</f>
        <v>632017</v>
      </c>
    </row>
    <row r="276" spans="1:5" x14ac:dyDescent="0.4">
      <c r="A276" t="s">
        <v>27</v>
      </c>
      <c r="B276" t="s">
        <v>39</v>
      </c>
      <c r="C276" s="3">
        <v>559</v>
      </c>
      <c r="D276">
        <f>VLOOKUP(表1_[[#This Row],[地区]],Sheet2!A:B,2,0)</f>
        <v>630000</v>
      </c>
      <c r="E276">
        <f>表1_[[#This Row],[年份]]+表1_[[#This Row],[行政区划]]</f>
        <v>632018</v>
      </c>
    </row>
    <row r="277" spans="1:5" x14ac:dyDescent="0.4">
      <c r="A277" t="s">
        <v>27</v>
      </c>
      <c r="B277" t="s">
        <v>40</v>
      </c>
      <c r="C277" s="3">
        <v>760</v>
      </c>
      <c r="D277">
        <f>VLOOKUP(表1_[[#This Row],[地区]],Sheet2!A:B,2,0)</f>
        <v>630000</v>
      </c>
      <c r="E277">
        <f>表1_[[#This Row],[年份]]+表1_[[#This Row],[行政区划]]</f>
        <v>632019</v>
      </c>
    </row>
    <row r="278" spans="1:5" x14ac:dyDescent="0.4">
      <c r="A278" t="s">
        <v>27</v>
      </c>
      <c r="B278" t="s">
        <v>41</v>
      </c>
      <c r="C278" s="3">
        <v>1061</v>
      </c>
      <c r="D278">
        <f>VLOOKUP(表1_[[#This Row],[地区]],Sheet2!A:B,2,0)</f>
        <v>630000</v>
      </c>
      <c r="E278">
        <f>表1_[[#This Row],[年份]]+表1_[[#This Row],[行政区划]]</f>
        <v>632020</v>
      </c>
    </row>
    <row r="279" spans="1:5" x14ac:dyDescent="0.4">
      <c r="A279" t="s">
        <v>27</v>
      </c>
      <c r="B279" t="s">
        <v>42</v>
      </c>
      <c r="C279" s="3">
        <v>1224</v>
      </c>
      <c r="D279">
        <f>VLOOKUP(表1_[[#This Row],[地区]],Sheet2!A:B,2,0)</f>
        <v>630000</v>
      </c>
      <c r="E279">
        <f>表1_[[#This Row],[年份]]+表1_[[#This Row],[行政区划]]</f>
        <v>632021</v>
      </c>
    </row>
    <row r="280" spans="1:5" x14ac:dyDescent="0.4">
      <c r="A280" t="s">
        <v>27</v>
      </c>
      <c r="B280" t="s">
        <v>43</v>
      </c>
      <c r="C280" s="3">
        <v>1740</v>
      </c>
      <c r="D280">
        <f>VLOOKUP(表1_[[#This Row],[地区]],Sheet2!A:B,2,0)</f>
        <v>630000</v>
      </c>
      <c r="E280">
        <f>表1_[[#This Row],[年份]]+表1_[[#This Row],[行政区划]]</f>
        <v>632022</v>
      </c>
    </row>
    <row r="281" spans="1:5" x14ac:dyDescent="0.4">
      <c r="A281" t="s">
        <v>27</v>
      </c>
      <c r="B281" t="s">
        <v>44</v>
      </c>
      <c r="C281" s="3">
        <v>1352</v>
      </c>
      <c r="D281">
        <f>VLOOKUP(表1_[[#This Row],[地区]],Sheet2!A:B,2,0)</f>
        <v>630000</v>
      </c>
      <c r="E281">
        <f>表1_[[#This Row],[年份]]+表1_[[#This Row],[行政区划]]</f>
        <v>632023</v>
      </c>
    </row>
    <row r="282" spans="1:5" x14ac:dyDescent="0.4">
      <c r="A282" t="s">
        <v>28</v>
      </c>
      <c r="B282" t="s">
        <v>35</v>
      </c>
      <c r="C282" s="3">
        <v>675</v>
      </c>
      <c r="D282">
        <f>VLOOKUP(表1_[[#This Row],[地区]],Sheet2!A:B,2,0)</f>
        <v>640000</v>
      </c>
      <c r="E282">
        <f>表1_[[#This Row],[年份]]+表1_[[#This Row],[行政区划]]</f>
        <v>642014</v>
      </c>
    </row>
    <row r="283" spans="1:5" x14ac:dyDescent="0.4">
      <c r="A283" t="s">
        <v>28</v>
      </c>
      <c r="B283" t="s">
        <v>36</v>
      </c>
      <c r="C283" s="3">
        <v>908</v>
      </c>
      <c r="D283">
        <f>VLOOKUP(表1_[[#This Row],[地区]],Sheet2!A:B,2,0)</f>
        <v>640000</v>
      </c>
      <c r="E283">
        <f>表1_[[#This Row],[年份]]+表1_[[#This Row],[行政区划]]</f>
        <v>642015</v>
      </c>
    </row>
    <row r="284" spans="1:5" x14ac:dyDescent="0.4">
      <c r="A284" t="s">
        <v>28</v>
      </c>
      <c r="B284" t="s">
        <v>37</v>
      </c>
      <c r="C284" s="3">
        <v>1248</v>
      </c>
      <c r="D284">
        <f>VLOOKUP(表1_[[#This Row],[地区]],Sheet2!A:B,2,0)</f>
        <v>640000</v>
      </c>
      <c r="E284">
        <f>表1_[[#This Row],[年份]]+表1_[[#This Row],[行政区划]]</f>
        <v>642016</v>
      </c>
    </row>
    <row r="285" spans="1:5" x14ac:dyDescent="0.4">
      <c r="A285" t="s">
        <v>28</v>
      </c>
      <c r="B285" t="s">
        <v>38</v>
      </c>
      <c r="C285" s="3">
        <v>1633</v>
      </c>
      <c r="D285">
        <f>VLOOKUP(表1_[[#This Row],[地区]],Sheet2!A:B,2,0)</f>
        <v>640000</v>
      </c>
      <c r="E285">
        <f>表1_[[#This Row],[年份]]+表1_[[#This Row],[行政区划]]</f>
        <v>642017</v>
      </c>
    </row>
    <row r="286" spans="1:5" x14ac:dyDescent="0.4">
      <c r="A286" t="s">
        <v>28</v>
      </c>
      <c r="B286" t="s">
        <v>39</v>
      </c>
      <c r="C286" s="3">
        <v>2282</v>
      </c>
      <c r="D286">
        <f>VLOOKUP(表1_[[#This Row],[地区]],Sheet2!A:B,2,0)</f>
        <v>640000</v>
      </c>
      <c r="E286">
        <f>表1_[[#This Row],[年份]]+表1_[[#This Row],[行政区划]]</f>
        <v>642018</v>
      </c>
    </row>
    <row r="287" spans="1:5" x14ac:dyDescent="0.4">
      <c r="A287" t="s">
        <v>28</v>
      </c>
      <c r="B287" t="s">
        <v>40</v>
      </c>
      <c r="C287" s="3">
        <v>2777</v>
      </c>
      <c r="D287">
        <f>VLOOKUP(表1_[[#This Row],[地区]],Sheet2!A:B,2,0)</f>
        <v>640000</v>
      </c>
      <c r="E287">
        <f>表1_[[#This Row],[年份]]+表1_[[#This Row],[行政区划]]</f>
        <v>642019</v>
      </c>
    </row>
    <row r="288" spans="1:5" x14ac:dyDescent="0.4">
      <c r="A288" t="s">
        <v>28</v>
      </c>
      <c r="B288" t="s">
        <v>41</v>
      </c>
      <c r="C288" s="3">
        <v>3126</v>
      </c>
      <c r="D288">
        <f>VLOOKUP(表1_[[#This Row],[地区]],Sheet2!A:B,2,0)</f>
        <v>640000</v>
      </c>
      <c r="E288">
        <f>表1_[[#This Row],[年份]]+表1_[[#This Row],[行政区划]]</f>
        <v>642020</v>
      </c>
    </row>
    <row r="289" spans="1:5" x14ac:dyDescent="0.4">
      <c r="A289" t="s">
        <v>28</v>
      </c>
      <c r="B289" t="s">
        <v>42</v>
      </c>
      <c r="C289" s="3">
        <v>3397</v>
      </c>
      <c r="D289">
        <f>VLOOKUP(表1_[[#This Row],[地区]],Sheet2!A:B,2,0)</f>
        <v>640000</v>
      </c>
      <c r="E289">
        <f>表1_[[#This Row],[年份]]+表1_[[#This Row],[行政区划]]</f>
        <v>642021</v>
      </c>
    </row>
    <row r="290" spans="1:5" x14ac:dyDescent="0.4">
      <c r="A290" t="s">
        <v>28</v>
      </c>
      <c r="B290" t="s">
        <v>43</v>
      </c>
      <c r="C290" s="3">
        <v>4012</v>
      </c>
      <c r="D290">
        <f>VLOOKUP(表1_[[#This Row],[地区]],Sheet2!A:B,2,0)</f>
        <v>640000</v>
      </c>
      <c r="E290">
        <f>表1_[[#This Row],[年份]]+表1_[[#This Row],[行政区划]]</f>
        <v>642022</v>
      </c>
    </row>
    <row r="291" spans="1:5" x14ac:dyDescent="0.4">
      <c r="A291" t="s">
        <v>28</v>
      </c>
      <c r="B291" t="s">
        <v>44</v>
      </c>
      <c r="C291" s="3">
        <v>5295</v>
      </c>
      <c r="D291">
        <f>VLOOKUP(表1_[[#This Row],[地区]],Sheet2!A:B,2,0)</f>
        <v>640000</v>
      </c>
      <c r="E291">
        <f>表1_[[#This Row],[年份]]+表1_[[#This Row],[行政区划]]</f>
        <v>642023</v>
      </c>
    </row>
    <row r="292" spans="1:5" x14ac:dyDescent="0.4">
      <c r="A292" t="s">
        <v>29</v>
      </c>
      <c r="B292" t="s">
        <v>35</v>
      </c>
      <c r="C292" s="3">
        <v>1111</v>
      </c>
      <c r="D292">
        <f>VLOOKUP(表1_[[#This Row],[地区]],Sheet2!A:B,2,0)</f>
        <v>650000</v>
      </c>
      <c r="E292">
        <f>表1_[[#This Row],[年份]]+表1_[[#This Row],[行政区划]]</f>
        <v>652014</v>
      </c>
    </row>
    <row r="293" spans="1:5" x14ac:dyDescent="0.4">
      <c r="A293" t="s">
        <v>29</v>
      </c>
      <c r="B293" t="s">
        <v>36</v>
      </c>
      <c r="C293" s="3">
        <v>1553</v>
      </c>
      <c r="D293">
        <f>VLOOKUP(表1_[[#This Row],[地区]],Sheet2!A:B,2,0)</f>
        <v>650000</v>
      </c>
      <c r="E293">
        <f>表1_[[#This Row],[年份]]+表1_[[#This Row],[行政区划]]</f>
        <v>652015</v>
      </c>
    </row>
    <row r="294" spans="1:5" x14ac:dyDescent="0.4">
      <c r="A294" t="s">
        <v>29</v>
      </c>
      <c r="B294" t="s">
        <v>37</v>
      </c>
      <c r="C294" s="3">
        <v>2030</v>
      </c>
      <c r="D294">
        <f>VLOOKUP(表1_[[#This Row],[地区]],Sheet2!A:B,2,0)</f>
        <v>650000</v>
      </c>
      <c r="E294">
        <f>表1_[[#This Row],[年份]]+表1_[[#This Row],[行政区划]]</f>
        <v>652016</v>
      </c>
    </row>
    <row r="295" spans="1:5" x14ac:dyDescent="0.4">
      <c r="A295" t="s">
        <v>29</v>
      </c>
      <c r="B295" t="s">
        <v>38</v>
      </c>
      <c r="C295" s="3">
        <v>2565</v>
      </c>
      <c r="D295">
        <f>VLOOKUP(表1_[[#This Row],[地区]],Sheet2!A:B,2,0)</f>
        <v>650000</v>
      </c>
      <c r="E295">
        <f>表1_[[#This Row],[年份]]+表1_[[#This Row],[行政区划]]</f>
        <v>652017</v>
      </c>
    </row>
    <row r="296" spans="1:5" x14ac:dyDescent="0.4">
      <c r="A296" t="s">
        <v>29</v>
      </c>
      <c r="B296" t="s">
        <v>39</v>
      </c>
      <c r="C296" s="3">
        <v>3252</v>
      </c>
      <c r="D296">
        <f>VLOOKUP(表1_[[#This Row],[地区]],Sheet2!A:B,2,0)</f>
        <v>650000</v>
      </c>
      <c r="E296">
        <f>表1_[[#This Row],[年份]]+表1_[[#This Row],[行政区划]]</f>
        <v>652018</v>
      </c>
    </row>
    <row r="297" spans="1:5" x14ac:dyDescent="0.4">
      <c r="A297" t="s">
        <v>29</v>
      </c>
      <c r="B297" t="s">
        <v>40</v>
      </c>
      <c r="C297" s="3">
        <v>3351</v>
      </c>
      <c r="D297">
        <f>VLOOKUP(表1_[[#This Row],[地区]],Sheet2!A:B,2,0)</f>
        <v>650000</v>
      </c>
      <c r="E297">
        <f>表1_[[#This Row],[年份]]+表1_[[#This Row],[行政区划]]</f>
        <v>652019</v>
      </c>
    </row>
    <row r="298" spans="1:5" x14ac:dyDescent="0.4">
      <c r="A298" t="s">
        <v>29</v>
      </c>
      <c r="B298" t="s">
        <v>41</v>
      </c>
      <c r="C298" s="3">
        <v>4580</v>
      </c>
      <c r="D298">
        <f>VLOOKUP(表1_[[#This Row],[地区]],Sheet2!A:B,2,0)</f>
        <v>650000</v>
      </c>
      <c r="E298">
        <f>表1_[[#This Row],[年份]]+表1_[[#This Row],[行政区划]]</f>
        <v>652020</v>
      </c>
    </row>
    <row r="299" spans="1:5" x14ac:dyDescent="0.4">
      <c r="A299" t="s">
        <v>29</v>
      </c>
      <c r="B299" t="s">
        <v>42</v>
      </c>
      <c r="C299" s="3">
        <v>5670</v>
      </c>
      <c r="D299">
        <f>VLOOKUP(表1_[[#This Row],[地区]],Sheet2!A:B,2,0)</f>
        <v>650000</v>
      </c>
      <c r="E299">
        <f>表1_[[#This Row],[年份]]+表1_[[#This Row],[行政区划]]</f>
        <v>652021</v>
      </c>
    </row>
    <row r="300" spans="1:5" x14ac:dyDescent="0.4">
      <c r="A300" t="s">
        <v>29</v>
      </c>
      <c r="B300" t="s">
        <v>43</v>
      </c>
      <c r="C300" s="3">
        <v>7225</v>
      </c>
      <c r="D300">
        <f>VLOOKUP(表1_[[#This Row],[地区]],Sheet2!A:B,2,0)</f>
        <v>650000</v>
      </c>
      <c r="E300">
        <f>表1_[[#This Row],[年份]]+表1_[[#This Row],[行政区划]]</f>
        <v>652022</v>
      </c>
    </row>
    <row r="301" spans="1:5" x14ac:dyDescent="0.4">
      <c r="A301" t="s">
        <v>29</v>
      </c>
      <c r="B301" t="s">
        <v>44</v>
      </c>
      <c r="C301" s="3">
        <v>6557</v>
      </c>
      <c r="D301">
        <f>VLOOKUP(表1_[[#This Row],[地区]],Sheet2!A:B,2,0)</f>
        <v>650000</v>
      </c>
      <c r="E301">
        <f>表1_[[#This Row],[年份]]+表1_[[#This Row],[行政区划]]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8552-17F3-4399-B66A-E7255B484612}">
  <dimension ref="A1:B31"/>
  <sheetViews>
    <sheetView workbookViewId="0">
      <selection sqref="A1:B31"/>
    </sheetView>
  </sheetViews>
  <sheetFormatPr defaultRowHeight="13.9" x14ac:dyDescent="0.4"/>
  <sheetData>
    <row r="1" spans="1:2" x14ac:dyDescent="0.4">
      <c r="A1" s="3" t="s">
        <v>50</v>
      </c>
      <c r="B1" s="3" t="s">
        <v>51</v>
      </c>
    </row>
    <row r="2" spans="1:2" x14ac:dyDescent="0.4">
      <c r="A2" s="3" t="s">
        <v>0</v>
      </c>
      <c r="B2" s="3">
        <v>110000</v>
      </c>
    </row>
    <row r="3" spans="1:2" x14ac:dyDescent="0.4">
      <c r="A3" s="3" t="s">
        <v>1</v>
      </c>
      <c r="B3" s="3">
        <v>120000</v>
      </c>
    </row>
    <row r="4" spans="1:2" x14ac:dyDescent="0.4">
      <c r="A4" s="3" t="s">
        <v>2</v>
      </c>
      <c r="B4" s="3">
        <v>130000</v>
      </c>
    </row>
    <row r="5" spans="1:2" x14ac:dyDescent="0.4">
      <c r="A5" s="3" t="s">
        <v>3</v>
      </c>
      <c r="B5" s="3">
        <v>140000</v>
      </c>
    </row>
    <row r="6" spans="1:2" x14ac:dyDescent="0.4">
      <c r="A6" s="3" t="s">
        <v>4</v>
      </c>
      <c r="B6" s="3">
        <v>150000</v>
      </c>
    </row>
    <row r="7" spans="1:2" x14ac:dyDescent="0.4">
      <c r="A7" s="3" t="s">
        <v>5</v>
      </c>
      <c r="B7" s="3">
        <v>210000</v>
      </c>
    </row>
    <row r="8" spans="1:2" x14ac:dyDescent="0.4">
      <c r="A8" s="3" t="s">
        <v>6</v>
      </c>
      <c r="B8" s="3">
        <v>220000</v>
      </c>
    </row>
    <row r="9" spans="1:2" x14ac:dyDescent="0.4">
      <c r="A9" s="3" t="s">
        <v>7</v>
      </c>
      <c r="B9" s="3">
        <v>230000</v>
      </c>
    </row>
    <row r="10" spans="1:2" x14ac:dyDescent="0.4">
      <c r="A10" s="3" t="s">
        <v>8</v>
      </c>
      <c r="B10" s="3">
        <v>310000</v>
      </c>
    </row>
    <row r="11" spans="1:2" x14ac:dyDescent="0.4">
      <c r="A11" s="3" t="s">
        <v>9</v>
      </c>
      <c r="B11" s="3">
        <v>320000</v>
      </c>
    </row>
    <row r="12" spans="1:2" x14ac:dyDescent="0.4">
      <c r="A12" s="3" t="s">
        <v>10</v>
      </c>
      <c r="B12" s="3">
        <v>330000</v>
      </c>
    </row>
    <row r="13" spans="1:2" x14ac:dyDescent="0.4">
      <c r="A13" s="3" t="s">
        <v>11</v>
      </c>
      <c r="B13" s="3">
        <v>340000</v>
      </c>
    </row>
    <row r="14" spans="1:2" x14ac:dyDescent="0.4">
      <c r="A14" s="3" t="s">
        <v>12</v>
      </c>
      <c r="B14" s="3">
        <v>350000</v>
      </c>
    </row>
    <row r="15" spans="1:2" x14ac:dyDescent="0.4">
      <c r="A15" s="3" t="s">
        <v>13</v>
      </c>
      <c r="B15" s="3">
        <v>360000</v>
      </c>
    </row>
    <row r="16" spans="1:2" x14ac:dyDescent="0.4">
      <c r="A16" s="3" t="s">
        <v>14</v>
      </c>
      <c r="B16" s="3">
        <v>370000</v>
      </c>
    </row>
    <row r="17" spans="1:2" x14ac:dyDescent="0.4">
      <c r="A17" s="3" t="s">
        <v>15</v>
      </c>
      <c r="B17" s="3">
        <v>410000</v>
      </c>
    </row>
    <row r="18" spans="1:2" x14ac:dyDescent="0.4">
      <c r="A18" s="3" t="s">
        <v>16</v>
      </c>
      <c r="B18" s="3">
        <v>420000</v>
      </c>
    </row>
    <row r="19" spans="1:2" x14ac:dyDescent="0.4">
      <c r="A19" s="3" t="s">
        <v>17</v>
      </c>
      <c r="B19" s="3">
        <v>430000</v>
      </c>
    </row>
    <row r="20" spans="1:2" x14ac:dyDescent="0.4">
      <c r="A20" s="3" t="s">
        <v>18</v>
      </c>
      <c r="B20" s="3">
        <v>440000</v>
      </c>
    </row>
    <row r="21" spans="1:2" x14ac:dyDescent="0.4">
      <c r="A21" s="3" t="s">
        <v>19</v>
      </c>
      <c r="B21" s="3">
        <v>450000</v>
      </c>
    </row>
    <row r="22" spans="1:2" x14ac:dyDescent="0.4">
      <c r="A22" s="3" t="s">
        <v>20</v>
      </c>
      <c r="B22" s="3">
        <v>460000</v>
      </c>
    </row>
    <row r="23" spans="1:2" x14ac:dyDescent="0.4">
      <c r="A23" s="3" t="s">
        <v>21</v>
      </c>
      <c r="B23" s="3">
        <v>500000</v>
      </c>
    </row>
    <row r="24" spans="1:2" x14ac:dyDescent="0.4">
      <c r="A24" s="3" t="s">
        <v>22</v>
      </c>
      <c r="B24" s="3">
        <v>510000</v>
      </c>
    </row>
    <row r="25" spans="1:2" x14ac:dyDescent="0.4">
      <c r="A25" s="3" t="s">
        <v>23</v>
      </c>
      <c r="B25" s="3">
        <v>520000</v>
      </c>
    </row>
    <row r="26" spans="1:2" x14ac:dyDescent="0.4">
      <c r="A26" s="3" t="s">
        <v>24</v>
      </c>
      <c r="B26" s="3">
        <v>530000</v>
      </c>
    </row>
    <row r="27" spans="1:2" x14ac:dyDescent="0.4">
      <c r="A27" s="3" t="s">
        <v>25</v>
      </c>
      <c r="B27" s="3">
        <v>610000</v>
      </c>
    </row>
    <row r="28" spans="1:2" x14ac:dyDescent="0.4">
      <c r="A28" s="3" t="s">
        <v>26</v>
      </c>
      <c r="B28" s="3">
        <v>620000</v>
      </c>
    </row>
    <row r="29" spans="1:2" x14ac:dyDescent="0.4">
      <c r="A29" s="3" t="s">
        <v>27</v>
      </c>
      <c r="B29" s="3">
        <v>630000</v>
      </c>
    </row>
    <row r="30" spans="1:2" x14ac:dyDescent="0.4">
      <c r="A30" s="3" t="s">
        <v>28</v>
      </c>
      <c r="B30" s="3">
        <v>640000</v>
      </c>
    </row>
    <row r="31" spans="1:2" x14ac:dyDescent="0.4">
      <c r="A31" s="3" t="s">
        <v>29</v>
      </c>
      <c r="B31" s="3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051D-4F55-4AC4-9B6E-E2F4B8163F4C}">
  <dimension ref="A1:N32"/>
  <sheetViews>
    <sheetView workbookViewId="0">
      <selection sqref="A1:N32"/>
    </sheetView>
  </sheetViews>
  <sheetFormatPr defaultRowHeight="13.9" x14ac:dyDescent="0.4"/>
  <cols>
    <col min="2" max="3" width="9.1328125" style="1" bestFit="1" customWidth="1"/>
    <col min="4" max="14" width="10" style="1" bestFit="1" customWidth="1"/>
  </cols>
  <sheetData>
    <row r="1" spans="1:14" s="2" customFormat="1" x14ac:dyDescent="0.4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x14ac:dyDescent="0.4">
      <c r="A2" t="s">
        <v>0</v>
      </c>
      <c r="B2" s="1">
        <v>14051</v>
      </c>
      <c r="C2" s="1">
        <v>16402</v>
      </c>
      <c r="D2" s="1">
        <v>18721</v>
      </c>
      <c r="E2" s="1">
        <v>23749</v>
      </c>
      <c r="F2" s="1">
        <v>28290</v>
      </c>
      <c r="G2" s="1">
        <v>34497</v>
      </c>
      <c r="H2" s="1">
        <v>42851</v>
      </c>
      <c r="I2" s="1">
        <v>48656</v>
      </c>
      <c r="J2" s="1">
        <v>55261</v>
      </c>
      <c r="K2" s="1">
        <v>70538</v>
      </c>
      <c r="L2" s="1">
        <v>77167</v>
      </c>
      <c r="M2" s="1">
        <v>80347</v>
      </c>
      <c r="N2" s="1">
        <v>96443</v>
      </c>
    </row>
    <row r="3" spans="1:14" x14ac:dyDescent="0.4">
      <c r="A3" t="s">
        <v>1</v>
      </c>
      <c r="B3" s="1">
        <v>7341</v>
      </c>
      <c r="C3" s="1">
        <v>10191</v>
      </c>
      <c r="D3" s="1">
        <v>12263</v>
      </c>
      <c r="E3" s="1">
        <v>17422</v>
      </c>
      <c r="F3" s="1">
        <v>22021</v>
      </c>
      <c r="G3" s="1">
        <v>22346</v>
      </c>
      <c r="H3" s="1">
        <v>23407</v>
      </c>
      <c r="I3" s="1">
        <v>20856</v>
      </c>
      <c r="J3" s="1">
        <v>24945</v>
      </c>
      <c r="K3" s="1">
        <v>26326</v>
      </c>
      <c r="L3" s="1">
        <v>28517</v>
      </c>
      <c r="M3" s="1">
        <v>30392</v>
      </c>
      <c r="N3" s="1">
        <v>32107</v>
      </c>
    </row>
    <row r="4" spans="1:14" x14ac:dyDescent="0.4">
      <c r="A4" t="s">
        <v>2</v>
      </c>
      <c r="B4" s="1">
        <v>3358</v>
      </c>
      <c r="C4" s="1">
        <v>4049</v>
      </c>
      <c r="D4" s="1">
        <v>4999</v>
      </c>
      <c r="E4" s="1">
        <v>7740</v>
      </c>
      <c r="F4" s="1">
        <v>13074</v>
      </c>
      <c r="G4" s="1">
        <v>14750</v>
      </c>
      <c r="H4" s="1">
        <v>18762</v>
      </c>
      <c r="I4" s="1">
        <v>21487</v>
      </c>
      <c r="J4" s="1">
        <v>28135</v>
      </c>
      <c r="K4" s="1">
        <v>34240</v>
      </c>
      <c r="L4" s="1">
        <v>38203</v>
      </c>
      <c r="M4" s="1">
        <v>44210</v>
      </c>
      <c r="N4" s="1">
        <v>50471</v>
      </c>
    </row>
    <row r="5" spans="1:14" x14ac:dyDescent="0.4">
      <c r="A5" t="s">
        <v>3</v>
      </c>
      <c r="B5" s="1">
        <v>2345</v>
      </c>
      <c r="C5" s="1">
        <v>3008</v>
      </c>
      <c r="D5" s="1">
        <v>3505</v>
      </c>
      <c r="E5" s="1">
        <v>4468</v>
      </c>
      <c r="F5" s="1">
        <v>5350</v>
      </c>
      <c r="G5" s="1">
        <v>6567</v>
      </c>
      <c r="H5" s="1">
        <v>7917</v>
      </c>
      <c r="I5" s="1">
        <v>8619</v>
      </c>
      <c r="J5" s="1">
        <v>10218</v>
      </c>
      <c r="K5" s="1">
        <v>12336</v>
      </c>
      <c r="L5" s="1">
        <v>12861</v>
      </c>
      <c r="M5" s="1">
        <v>13426</v>
      </c>
      <c r="N5" s="1">
        <v>17195</v>
      </c>
    </row>
    <row r="6" spans="1:14" x14ac:dyDescent="0.4">
      <c r="A6" t="s">
        <v>4</v>
      </c>
      <c r="B6" s="1">
        <v>922</v>
      </c>
      <c r="C6" s="1">
        <v>1444</v>
      </c>
      <c r="D6" s="1">
        <v>1660</v>
      </c>
      <c r="E6" s="1">
        <v>2175</v>
      </c>
      <c r="F6" s="1">
        <v>3103</v>
      </c>
      <c r="G6" s="1">
        <v>3837</v>
      </c>
      <c r="H6" s="1">
        <v>3909</v>
      </c>
      <c r="I6" s="1">
        <v>5491</v>
      </c>
      <c r="J6" s="1">
        <v>5799</v>
      </c>
      <c r="K6" s="1">
        <v>6847</v>
      </c>
      <c r="L6" s="1">
        <v>7911</v>
      </c>
      <c r="M6" s="1">
        <v>9468</v>
      </c>
      <c r="N6" s="1">
        <v>17743</v>
      </c>
    </row>
    <row r="7" spans="1:14" x14ac:dyDescent="0.4">
      <c r="A7" t="s">
        <v>5</v>
      </c>
      <c r="B7" s="1">
        <v>5054</v>
      </c>
      <c r="C7" s="1">
        <v>6923</v>
      </c>
      <c r="D7" s="1">
        <v>9055</v>
      </c>
      <c r="E7" s="1">
        <v>10372</v>
      </c>
      <c r="F7" s="1">
        <v>14188</v>
      </c>
      <c r="G7" s="1">
        <v>19028</v>
      </c>
      <c r="H7" s="1">
        <v>21089</v>
      </c>
      <c r="I7" s="1">
        <v>22848</v>
      </c>
      <c r="J7" s="1">
        <v>28788</v>
      </c>
      <c r="K7" s="1">
        <v>31740</v>
      </c>
      <c r="L7" s="1">
        <v>38171</v>
      </c>
      <c r="M7" s="1">
        <v>34185</v>
      </c>
      <c r="N7" s="1">
        <v>42139</v>
      </c>
    </row>
    <row r="8" spans="1:14" x14ac:dyDescent="0.4">
      <c r="A8" t="s">
        <v>6</v>
      </c>
      <c r="B8" s="1">
        <v>2779</v>
      </c>
      <c r="C8" s="1">
        <v>2985</v>
      </c>
      <c r="D8" s="1">
        <v>1884</v>
      </c>
      <c r="E8" s="1">
        <v>2649</v>
      </c>
      <c r="F8" s="1">
        <v>3395</v>
      </c>
      <c r="G8" s="1">
        <v>3518</v>
      </c>
      <c r="H8" s="1">
        <v>4612</v>
      </c>
      <c r="I8" s="1">
        <v>4853</v>
      </c>
      <c r="J8" s="1">
        <v>6696</v>
      </c>
      <c r="K8" s="1">
        <v>7109</v>
      </c>
      <c r="L8" s="1">
        <v>8925</v>
      </c>
      <c r="M8" s="1">
        <v>11455</v>
      </c>
      <c r="N8" s="1">
        <v>18224</v>
      </c>
    </row>
    <row r="9" spans="1:14" x14ac:dyDescent="0.4">
      <c r="A9" t="s">
        <v>7</v>
      </c>
      <c r="B9" s="1">
        <v>2055</v>
      </c>
      <c r="C9" s="1">
        <v>2342</v>
      </c>
      <c r="D9" s="1">
        <v>3052</v>
      </c>
      <c r="E9" s="1">
        <v>3351</v>
      </c>
      <c r="F9" s="1">
        <v>4716</v>
      </c>
      <c r="G9" s="1">
        <v>5760</v>
      </c>
      <c r="H9" s="1">
        <v>4708</v>
      </c>
      <c r="I9" s="1">
        <v>6232</v>
      </c>
      <c r="J9" s="1">
        <v>8260</v>
      </c>
      <c r="K9" s="1">
        <v>9611</v>
      </c>
      <c r="L9" s="1">
        <v>10591</v>
      </c>
      <c r="M9" s="1">
        <v>10546</v>
      </c>
      <c r="N9" s="1">
        <v>13743</v>
      </c>
    </row>
    <row r="10" spans="1:14" x14ac:dyDescent="0.4">
      <c r="A10" t="s">
        <v>8</v>
      </c>
      <c r="B10" s="1">
        <v>16805</v>
      </c>
      <c r="C10" s="1">
        <v>20140</v>
      </c>
      <c r="D10" s="1">
        <v>27540</v>
      </c>
      <c r="E10" s="1">
        <v>30815</v>
      </c>
      <c r="F10" s="1">
        <v>37513</v>
      </c>
      <c r="G10" s="1">
        <v>43416</v>
      </c>
      <c r="H10" s="1">
        <v>47940</v>
      </c>
      <c r="I10" s="1">
        <v>53559</v>
      </c>
      <c r="J10" s="1">
        <v>62147</v>
      </c>
      <c r="K10" s="1">
        <v>66509</v>
      </c>
      <c r="L10" s="1">
        <v>81347</v>
      </c>
      <c r="M10" s="1">
        <v>88728</v>
      </c>
      <c r="N10" s="1">
        <v>105481</v>
      </c>
    </row>
    <row r="11" spans="1:14" x14ac:dyDescent="0.4">
      <c r="A11" t="s">
        <v>9</v>
      </c>
      <c r="B11" s="1">
        <v>45120</v>
      </c>
      <c r="C11" s="1">
        <v>52718</v>
      </c>
      <c r="D11" s="1">
        <v>73252</v>
      </c>
      <c r="E11" s="1">
        <v>85485</v>
      </c>
      <c r="F11" s="1">
        <v>117912</v>
      </c>
      <c r="G11" s="1">
        <v>140346</v>
      </c>
      <c r="H11" s="1">
        <v>176120</v>
      </c>
      <c r="I11" s="1">
        <v>180893</v>
      </c>
      <c r="J11" s="1">
        <v>224512</v>
      </c>
      <c r="K11" s="1">
        <v>242423</v>
      </c>
      <c r="L11" s="1">
        <v>299124</v>
      </c>
      <c r="M11" s="1">
        <v>328671</v>
      </c>
      <c r="N11" s="1">
        <v>391299</v>
      </c>
    </row>
    <row r="12" spans="1:14" x14ac:dyDescent="0.4">
      <c r="A12" t="s">
        <v>10</v>
      </c>
      <c r="B12" s="1">
        <v>20553</v>
      </c>
      <c r="C12" s="1">
        <v>22578</v>
      </c>
      <c r="D12" s="1">
        <v>28235</v>
      </c>
      <c r="E12" s="1">
        <v>31642</v>
      </c>
      <c r="F12" s="1">
        <v>38661</v>
      </c>
      <c r="G12" s="1">
        <v>49158</v>
      </c>
      <c r="H12" s="1">
        <v>62341</v>
      </c>
      <c r="I12" s="1">
        <v>75770</v>
      </c>
      <c r="J12" s="1">
        <v>93159</v>
      </c>
      <c r="K12" s="1">
        <v>120873</v>
      </c>
      <c r="L12" s="1">
        <v>146012</v>
      </c>
      <c r="M12" s="1">
        <v>181101</v>
      </c>
      <c r="N12" s="1">
        <v>214174</v>
      </c>
    </row>
    <row r="13" spans="1:14" x14ac:dyDescent="0.4">
      <c r="A13" t="s">
        <v>11</v>
      </c>
      <c r="B13" s="1">
        <v>9215</v>
      </c>
      <c r="C13" s="1">
        <v>13582</v>
      </c>
      <c r="D13" s="1">
        <v>21667</v>
      </c>
      <c r="E13" s="1">
        <v>28568</v>
      </c>
      <c r="F13" s="1">
        <v>41791</v>
      </c>
      <c r="G13" s="1">
        <v>49810</v>
      </c>
      <c r="H13" s="1">
        <v>56296</v>
      </c>
      <c r="I13" s="1">
        <v>54798</v>
      </c>
      <c r="J13" s="1">
        <v>70467</v>
      </c>
      <c r="K13" s="1">
        <v>78480</v>
      </c>
      <c r="L13" s="1">
        <v>91651</v>
      </c>
      <c r="M13" s="1">
        <v>101197</v>
      </c>
      <c r="N13" s="1">
        <v>117877</v>
      </c>
    </row>
    <row r="14" spans="1:14" x14ac:dyDescent="0.4">
      <c r="A14" t="s">
        <v>12</v>
      </c>
      <c r="B14" s="1">
        <v>5400</v>
      </c>
      <c r="C14" s="1">
        <v>7119</v>
      </c>
      <c r="D14" s="1">
        <v>9176</v>
      </c>
      <c r="E14" s="1">
        <v>12424</v>
      </c>
      <c r="F14" s="1">
        <v>18514</v>
      </c>
      <c r="G14" s="1">
        <v>24222</v>
      </c>
      <c r="H14" s="1">
        <v>29543</v>
      </c>
      <c r="I14" s="1">
        <v>34668</v>
      </c>
      <c r="J14" s="1">
        <v>44702</v>
      </c>
      <c r="K14" s="1">
        <v>45695</v>
      </c>
      <c r="L14" s="1">
        <v>55076</v>
      </c>
      <c r="M14" s="1">
        <v>63781</v>
      </c>
      <c r="N14" s="1">
        <v>74489</v>
      </c>
    </row>
    <row r="15" spans="1:14" x14ac:dyDescent="0.4">
      <c r="A15" t="s">
        <v>13</v>
      </c>
      <c r="B15" s="1">
        <v>1398</v>
      </c>
      <c r="C15" s="1">
        <v>2333</v>
      </c>
      <c r="D15" s="1">
        <v>3383</v>
      </c>
      <c r="E15" s="1">
        <v>4765</v>
      </c>
      <c r="F15" s="1">
        <v>6993</v>
      </c>
      <c r="G15" s="1">
        <v>10806</v>
      </c>
      <c r="H15" s="1">
        <v>11878</v>
      </c>
      <c r="I15" s="1">
        <v>13328</v>
      </c>
      <c r="J15" s="1">
        <v>18715</v>
      </c>
      <c r="K15" s="1">
        <v>21690</v>
      </c>
      <c r="L15" s="1">
        <v>24847</v>
      </c>
      <c r="M15" s="1">
        <v>26071</v>
      </c>
      <c r="N15" s="1">
        <v>31384</v>
      </c>
    </row>
    <row r="16" spans="1:14" x14ac:dyDescent="0.4">
      <c r="A16" t="s">
        <v>14</v>
      </c>
      <c r="B16" s="1">
        <v>15104</v>
      </c>
      <c r="C16" s="1">
        <v>18340</v>
      </c>
      <c r="D16" s="1">
        <v>26122</v>
      </c>
      <c r="E16" s="1">
        <v>33785</v>
      </c>
      <c r="F16" s="1">
        <v>45917</v>
      </c>
      <c r="G16" s="1">
        <v>56076</v>
      </c>
      <c r="H16" s="1">
        <v>63496</v>
      </c>
      <c r="I16" s="1">
        <v>67896</v>
      </c>
      <c r="J16" s="1">
        <v>78926</v>
      </c>
      <c r="K16" s="1">
        <v>103410</v>
      </c>
      <c r="L16" s="1">
        <v>130077</v>
      </c>
      <c r="M16" s="1">
        <v>156453</v>
      </c>
      <c r="N16" s="1">
        <v>181509</v>
      </c>
    </row>
    <row r="17" spans="1:14" x14ac:dyDescent="0.4">
      <c r="A17" t="s">
        <v>15</v>
      </c>
      <c r="B17" s="1">
        <v>5133</v>
      </c>
      <c r="C17" s="1">
        <v>6470</v>
      </c>
      <c r="D17" s="1">
        <v>8497</v>
      </c>
      <c r="E17" s="1">
        <v>11305</v>
      </c>
      <c r="F17" s="1">
        <v>15863</v>
      </c>
      <c r="G17" s="1">
        <v>19457</v>
      </c>
      <c r="H17" s="1">
        <v>23857</v>
      </c>
      <c r="I17" s="1">
        <v>30245</v>
      </c>
      <c r="J17" s="1">
        <v>36500</v>
      </c>
      <c r="K17" s="1">
        <v>42849</v>
      </c>
      <c r="L17" s="1">
        <v>45993</v>
      </c>
      <c r="M17" s="1">
        <v>49860</v>
      </c>
      <c r="N17" s="1">
        <v>72961</v>
      </c>
    </row>
    <row r="18" spans="1:14" x14ac:dyDescent="0.4">
      <c r="A18" t="s">
        <v>16</v>
      </c>
      <c r="B18" s="1">
        <v>7025</v>
      </c>
      <c r="C18" s="1">
        <v>8745</v>
      </c>
      <c r="D18" s="1">
        <v>12444</v>
      </c>
      <c r="E18" s="1">
        <v>16965</v>
      </c>
      <c r="F18" s="1">
        <v>23972</v>
      </c>
      <c r="G18" s="1">
        <v>25568</v>
      </c>
      <c r="H18" s="1">
        <v>32421</v>
      </c>
      <c r="I18" s="1">
        <v>38000</v>
      </c>
      <c r="J18" s="1">
        <v>49197</v>
      </c>
      <c r="K18" s="1">
        <v>61986</v>
      </c>
      <c r="L18" s="1">
        <v>81317</v>
      </c>
      <c r="M18" s="1">
        <v>97938</v>
      </c>
      <c r="N18" s="1">
        <v>112510</v>
      </c>
    </row>
    <row r="19" spans="1:14" x14ac:dyDescent="0.4">
      <c r="A19" t="s">
        <v>17</v>
      </c>
      <c r="B19" s="1">
        <v>8436</v>
      </c>
      <c r="C19" s="1">
        <v>10512</v>
      </c>
      <c r="D19" s="1">
        <v>14415</v>
      </c>
      <c r="E19" s="1">
        <v>19087</v>
      </c>
      <c r="F19" s="1">
        <v>22315</v>
      </c>
      <c r="G19" s="1">
        <v>26697</v>
      </c>
      <c r="H19" s="1">
        <v>33659</v>
      </c>
      <c r="I19" s="1">
        <v>39642</v>
      </c>
      <c r="J19" s="1">
        <v>39805</v>
      </c>
      <c r="K19" s="1">
        <v>46937</v>
      </c>
      <c r="L19" s="1">
        <v>58360</v>
      </c>
      <c r="M19" s="1">
        <v>60535</v>
      </c>
      <c r="N19" s="1">
        <v>73064</v>
      </c>
    </row>
    <row r="20" spans="1:14" x14ac:dyDescent="0.4">
      <c r="A20" t="s">
        <v>18</v>
      </c>
      <c r="B20" s="1">
        <v>83280</v>
      </c>
      <c r="C20" s="1">
        <v>97052</v>
      </c>
      <c r="D20" s="1">
        <v>126936</v>
      </c>
      <c r="E20" s="1">
        <v>177047</v>
      </c>
      <c r="F20" s="1">
        <v>236918</v>
      </c>
      <c r="G20" s="1">
        <v>289238</v>
      </c>
      <c r="H20" s="1">
        <v>328467</v>
      </c>
      <c r="I20" s="1">
        <v>375515</v>
      </c>
      <c r="J20" s="1">
        <v>435509</v>
      </c>
      <c r="K20" s="1">
        <v>511717</v>
      </c>
      <c r="L20" s="1">
        <v>572589</v>
      </c>
      <c r="M20" s="1">
        <v>661500</v>
      </c>
      <c r="N20" s="1">
        <v>734216</v>
      </c>
    </row>
    <row r="21" spans="1:14" x14ac:dyDescent="0.4">
      <c r="A21" t="s">
        <v>19</v>
      </c>
      <c r="B21" s="1">
        <v>1499</v>
      </c>
      <c r="C21" s="1">
        <v>1889</v>
      </c>
      <c r="D21" s="1">
        <v>2670</v>
      </c>
      <c r="E21" s="1">
        <v>3731</v>
      </c>
      <c r="F21" s="1">
        <v>6010</v>
      </c>
      <c r="G21" s="1">
        <v>6557</v>
      </c>
      <c r="H21" s="1">
        <v>6846</v>
      </c>
      <c r="I21" s="1">
        <v>8176</v>
      </c>
      <c r="J21" s="1">
        <v>8667</v>
      </c>
      <c r="K21" s="1">
        <v>14995</v>
      </c>
      <c r="L21" s="1">
        <v>12721</v>
      </c>
      <c r="M21" s="1">
        <v>15301</v>
      </c>
      <c r="N21" s="1">
        <v>18129</v>
      </c>
    </row>
    <row r="22" spans="1:14" x14ac:dyDescent="0.4">
      <c r="A22" t="s">
        <v>20</v>
      </c>
      <c r="B22" s="1">
        <v>388</v>
      </c>
      <c r="C22" s="1">
        <v>683</v>
      </c>
      <c r="D22" s="1">
        <v>1217</v>
      </c>
      <c r="E22" s="1">
        <v>1378</v>
      </c>
      <c r="F22" s="1">
        <v>1657</v>
      </c>
      <c r="G22" s="1">
        <v>1656</v>
      </c>
      <c r="H22" s="1">
        <v>1258</v>
      </c>
      <c r="I22" s="1">
        <v>1501</v>
      </c>
      <c r="J22" s="1">
        <v>1875</v>
      </c>
      <c r="K22" s="1">
        <v>2348</v>
      </c>
      <c r="L22" s="1">
        <v>2873</v>
      </c>
      <c r="M22" s="1">
        <v>3024</v>
      </c>
      <c r="N22" s="1">
        <v>3213</v>
      </c>
    </row>
    <row r="23" spans="1:14" x14ac:dyDescent="0.4">
      <c r="A23" t="s">
        <v>21</v>
      </c>
      <c r="B23" s="1">
        <v>3714</v>
      </c>
      <c r="C23" s="1">
        <v>4792</v>
      </c>
      <c r="D23" s="1">
        <v>6272</v>
      </c>
      <c r="E23" s="1">
        <v>6328</v>
      </c>
      <c r="F23" s="1">
        <v>8585</v>
      </c>
      <c r="G23" s="1">
        <v>12472</v>
      </c>
      <c r="H23" s="1">
        <v>17579</v>
      </c>
      <c r="I23" s="1">
        <v>18281</v>
      </c>
      <c r="J23" s="1">
        <v>20650</v>
      </c>
      <c r="K23" s="1">
        <v>24388</v>
      </c>
      <c r="L23" s="1">
        <v>27681</v>
      </c>
      <c r="M23" s="1">
        <v>29767</v>
      </c>
      <c r="N23" s="1">
        <v>34738</v>
      </c>
    </row>
    <row r="24" spans="1:14" x14ac:dyDescent="0.4">
      <c r="A24" t="s">
        <v>22</v>
      </c>
      <c r="B24" s="1">
        <v>6591</v>
      </c>
      <c r="C24" s="1">
        <v>9043</v>
      </c>
      <c r="D24" s="1">
        <v>15893</v>
      </c>
      <c r="E24" s="1">
        <v>17601</v>
      </c>
      <c r="F24" s="1">
        <v>24065</v>
      </c>
      <c r="G24" s="1">
        <v>32598</v>
      </c>
      <c r="H24" s="1">
        <v>35959</v>
      </c>
      <c r="I24" s="1">
        <v>39658</v>
      </c>
      <c r="J24" s="1">
        <v>42114</v>
      </c>
      <c r="K24" s="1">
        <v>48898</v>
      </c>
      <c r="L24" s="1">
        <v>57722</v>
      </c>
      <c r="M24" s="1">
        <v>62570</v>
      </c>
      <c r="N24" s="1">
        <v>78630</v>
      </c>
    </row>
    <row r="25" spans="1:14" x14ac:dyDescent="0.4">
      <c r="A25" t="s">
        <v>23</v>
      </c>
      <c r="B25" s="1">
        <v>1370</v>
      </c>
      <c r="C25" s="1">
        <v>1985</v>
      </c>
      <c r="D25" s="1">
        <v>3146</v>
      </c>
      <c r="E25" s="1">
        <v>4096</v>
      </c>
      <c r="F25" s="1">
        <v>5411</v>
      </c>
      <c r="G25" s="1">
        <v>6805</v>
      </c>
      <c r="H25" s="1">
        <v>6544</v>
      </c>
      <c r="I25" s="1">
        <v>7740</v>
      </c>
      <c r="J25" s="1">
        <v>8487</v>
      </c>
      <c r="K25" s="1">
        <v>9357</v>
      </c>
      <c r="L25" s="1">
        <v>10342</v>
      </c>
      <c r="M25" s="1">
        <v>8168</v>
      </c>
      <c r="N25" s="1">
        <v>13265</v>
      </c>
    </row>
    <row r="26" spans="1:14" x14ac:dyDescent="0.4">
      <c r="A26" t="s">
        <v>24</v>
      </c>
      <c r="B26" s="1">
        <v>1644</v>
      </c>
      <c r="C26" s="1">
        <v>2280</v>
      </c>
      <c r="D26" s="1">
        <v>2865</v>
      </c>
      <c r="E26" s="1">
        <v>4605</v>
      </c>
      <c r="F26" s="1">
        <v>5880</v>
      </c>
      <c r="G26" s="1">
        <v>6510</v>
      </c>
      <c r="H26" s="1">
        <v>6466</v>
      </c>
      <c r="I26" s="1">
        <v>10131</v>
      </c>
      <c r="J26" s="1">
        <v>9515</v>
      </c>
      <c r="K26" s="1">
        <v>11021</v>
      </c>
      <c r="L26" s="1">
        <v>14054</v>
      </c>
      <c r="M26" s="1">
        <v>14217</v>
      </c>
      <c r="N26" s="1">
        <v>16680</v>
      </c>
    </row>
    <row r="27" spans="1:14" x14ac:dyDescent="0.4">
      <c r="A27" t="s">
        <v>25</v>
      </c>
      <c r="B27" s="1">
        <v>4752</v>
      </c>
      <c r="C27" s="1">
        <v>5449</v>
      </c>
      <c r="D27" s="1">
        <v>6675</v>
      </c>
      <c r="E27" s="1">
        <v>7506</v>
      </c>
      <c r="F27" s="1">
        <v>11520</v>
      </c>
      <c r="G27" s="1">
        <v>14806</v>
      </c>
      <c r="H27" s="1">
        <v>16892</v>
      </c>
      <c r="I27" s="1">
        <v>18774</v>
      </c>
      <c r="J27" s="1">
        <v>21932</v>
      </c>
      <c r="K27" s="1">
        <v>24226</v>
      </c>
      <c r="L27" s="1">
        <v>27942</v>
      </c>
      <c r="M27" s="1">
        <v>24558</v>
      </c>
      <c r="N27" s="1">
        <v>37538</v>
      </c>
    </row>
    <row r="28" spans="1:14" x14ac:dyDescent="0.4">
      <c r="A28" t="s">
        <v>26</v>
      </c>
      <c r="B28" s="1">
        <v>855</v>
      </c>
      <c r="C28" s="1">
        <v>1028</v>
      </c>
      <c r="D28" s="1">
        <v>1265</v>
      </c>
      <c r="E28" s="1">
        <v>1884</v>
      </c>
      <c r="F28" s="1">
        <v>2427</v>
      </c>
      <c r="G28" s="1">
        <v>2796</v>
      </c>
      <c r="H28" s="1">
        <v>3208</v>
      </c>
      <c r="I28" s="1">
        <v>3413</v>
      </c>
      <c r="J28" s="1">
        <v>4017</v>
      </c>
      <c r="K28" s="1">
        <v>4842</v>
      </c>
      <c r="L28" s="1">
        <v>5733</v>
      </c>
      <c r="M28" s="1">
        <v>6664</v>
      </c>
      <c r="N28" s="1">
        <v>8837</v>
      </c>
    </row>
    <row r="29" spans="1:14" x14ac:dyDescent="0.4">
      <c r="A29" t="s">
        <v>27</v>
      </c>
      <c r="B29" s="1">
        <v>170</v>
      </c>
      <c r="C29" s="1">
        <v>205</v>
      </c>
      <c r="D29" s="1">
        <v>246</v>
      </c>
      <c r="E29" s="1">
        <v>271</v>
      </c>
      <c r="F29" s="1">
        <v>393</v>
      </c>
      <c r="G29" s="1">
        <v>399</v>
      </c>
      <c r="H29" s="1">
        <v>559</v>
      </c>
      <c r="I29" s="1">
        <v>760</v>
      </c>
      <c r="J29" s="1">
        <v>1061</v>
      </c>
      <c r="K29" s="1">
        <v>1224</v>
      </c>
      <c r="L29" s="1">
        <v>1740</v>
      </c>
      <c r="M29" s="1">
        <v>1352</v>
      </c>
      <c r="N29" s="1">
        <v>1816</v>
      </c>
    </row>
    <row r="30" spans="1:14" x14ac:dyDescent="0.4">
      <c r="A30" t="s">
        <v>28</v>
      </c>
      <c r="B30" s="1">
        <v>300</v>
      </c>
      <c r="C30" s="1">
        <v>387</v>
      </c>
      <c r="D30" s="1">
        <v>675</v>
      </c>
      <c r="E30" s="1">
        <v>908</v>
      </c>
      <c r="F30" s="1">
        <v>1248</v>
      </c>
      <c r="G30" s="1">
        <v>1633</v>
      </c>
      <c r="H30" s="1">
        <v>2282</v>
      </c>
      <c r="I30" s="1">
        <v>2777</v>
      </c>
      <c r="J30" s="1">
        <v>3126</v>
      </c>
      <c r="K30" s="1">
        <v>3397</v>
      </c>
      <c r="L30" s="1">
        <v>4012</v>
      </c>
      <c r="M30" s="1">
        <v>5295</v>
      </c>
      <c r="N30" s="1">
        <v>6292</v>
      </c>
    </row>
    <row r="31" spans="1:14" x14ac:dyDescent="0.4">
      <c r="A31" t="s">
        <v>29</v>
      </c>
      <c r="B31" s="1">
        <v>468</v>
      </c>
      <c r="C31" s="1">
        <v>695</v>
      </c>
      <c r="D31" s="1">
        <v>1111</v>
      </c>
      <c r="E31" s="1">
        <v>1553</v>
      </c>
      <c r="F31" s="1">
        <v>2030</v>
      </c>
      <c r="G31" s="1">
        <v>2565</v>
      </c>
      <c r="H31" s="1">
        <v>3252</v>
      </c>
      <c r="I31" s="1">
        <v>3351</v>
      </c>
      <c r="J31" s="1">
        <v>4580</v>
      </c>
      <c r="K31" s="1">
        <v>5670</v>
      </c>
      <c r="L31" s="1">
        <v>7225</v>
      </c>
      <c r="M31" s="1">
        <v>6557</v>
      </c>
      <c r="N31" s="1">
        <v>12025</v>
      </c>
    </row>
    <row r="32" spans="1:14" x14ac:dyDescent="0.4">
      <c r="A3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E28F3-A383-4E18-852B-C04C1DDA0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2026-04-12T13:30:10Z</dcterms:created>
  <dcterms:modified xsi:type="dcterms:W3CDTF">2026-04-14T11:45:11Z</dcterms:modified>
</cp:coreProperties>
</file>
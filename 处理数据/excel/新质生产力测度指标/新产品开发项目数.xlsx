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jjmlinxieli\处理数据\excel\新质生产力测度指标\"/>
    </mc:Choice>
  </mc:AlternateContent>
  <xr:revisionPtr revIDLastSave="0" documentId="13_ncr:1_{195FD9B5-68E1-46A6-98C4-14FB72E19140}" xr6:coauthVersionLast="47" xr6:coauthVersionMax="47" xr10:uidLastSave="{00000000-0000-0000-0000-000000000000}"/>
  <bookViews>
    <workbookView xWindow="-98" yWindow="-98" windowWidth="24196" windowHeight="15196" xr2:uid="{F1E9E017-426F-4963-994A-E314B7DC505F}"/>
  </bookViews>
  <sheets>
    <sheet name="表1" sheetId="2" r:id="rId1"/>
    <sheet name="Sheet2" sheetId="3" r:id="rId2"/>
    <sheet name="Sheet1" sheetId="1" r:id="rId3"/>
  </sheets>
  <definedNames>
    <definedName name="ExternalData_1" localSheetId="0" hidden="1">'表1'!$A$1:$C$301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9" i="2" l="1"/>
  <c r="E100" i="2"/>
  <c r="E107" i="2"/>
  <c r="E116" i="2"/>
  <c r="E148" i="2"/>
  <c r="E149" i="2"/>
  <c r="E181" i="2"/>
  <c r="E205" i="2"/>
  <c r="E214" i="2"/>
  <c r="E215" i="2"/>
  <c r="E216" i="2"/>
  <c r="E217" i="2"/>
  <c r="D2" i="2"/>
  <c r="E2" i="2" s="1"/>
  <c r="D3" i="2"/>
  <c r="E3" i="2" s="1"/>
  <c r="D4" i="2"/>
  <c r="E4" i="2" s="1"/>
  <c r="D5" i="2"/>
  <c r="E5" i="2" s="1"/>
  <c r="D6" i="2"/>
  <c r="E6" i="2" s="1"/>
  <c r="D7" i="2"/>
  <c r="E7" i="2" s="1"/>
  <c r="D8" i="2"/>
  <c r="E8" i="2" s="1"/>
  <c r="D9" i="2"/>
  <c r="E9" i="2" s="1"/>
  <c r="D10" i="2"/>
  <c r="E10" i="2" s="1"/>
  <c r="D11" i="2"/>
  <c r="E11" i="2" s="1"/>
  <c r="D12" i="2"/>
  <c r="E12" i="2" s="1"/>
  <c r="D13" i="2"/>
  <c r="E13" i="2" s="1"/>
  <c r="D14" i="2"/>
  <c r="E14" i="2" s="1"/>
  <c r="D15" i="2"/>
  <c r="E15" i="2" s="1"/>
  <c r="D16" i="2"/>
  <c r="E16" i="2" s="1"/>
  <c r="D17" i="2"/>
  <c r="E17" i="2" s="1"/>
  <c r="D18" i="2"/>
  <c r="E18" i="2" s="1"/>
  <c r="D19" i="2"/>
  <c r="E19" i="2" s="1"/>
  <c r="D20" i="2"/>
  <c r="E20" i="2" s="1"/>
  <c r="D21" i="2"/>
  <c r="E21" i="2" s="1"/>
  <c r="D22" i="2"/>
  <c r="E22" i="2" s="1"/>
  <c r="D23" i="2"/>
  <c r="E23" i="2" s="1"/>
  <c r="D24" i="2"/>
  <c r="E24" i="2" s="1"/>
  <c r="D25" i="2"/>
  <c r="E25" i="2" s="1"/>
  <c r="D26" i="2"/>
  <c r="E26" i="2" s="1"/>
  <c r="D27" i="2"/>
  <c r="E27" i="2" s="1"/>
  <c r="D28" i="2"/>
  <c r="E28" i="2" s="1"/>
  <c r="D29" i="2"/>
  <c r="E29" i="2" s="1"/>
  <c r="D30" i="2"/>
  <c r="E30" i="2" s="1"/>
  <c r="D31" i="2"/>
  <c r="E31" i="2" s="1"/>
  <c r="D32" i="2"/>
  <c r="E32" i="2" s="1"/>
  <c r="D33" i="2"/>
  <c r="E33" i="2" s="1"/>
  <c r="D34" i="2"/>
  <c r="E34" i="2" s="1"/>
  <c r="D35" i="2"/>
  <c r="E35" i="2" s="1"/>
  <c r="D36" i="2"/>
  <c r="E36" i="2" s="1"/>
  <c r="D37" i="2"/>
  <c r="E37" i="2" s="1"/>
  <c r="D38" i="2"/>
  <c r="E38" i="2" s="1"/>
  <c r="D39" i="2"/>
  <c r="E39" i="2" s="1"/>
  <c r="D40" i="2"/>
  <c r="E40" i="2" s="1"/>
  <c r="D41" i="2"/>
  <c r="E41" i="2" s="1"/>
  <c r="D42" i="2"/>
  <c r="E42" i="2" s="1"/>
  <c r="D43" i="2"/>
  <c r="E43" i="2" s="1"/>
  <c r="D44" i="2"/>
  <c r="E44" i="2" s="1"/>
  <c r="D45" i="2"/>
  <c r="E45" i="2" s="1"/>
  <c r="D46" i="2"/>
  <c r="E46" i="2" s="1"/>
  <c r="D47" i="2"/>
  <c r="E47" i="2" s="1"/>
  <c r="D48" i="2"/>
  <c r="E48" i="2" s="1"/>
  <c r="D49" i="2"/>
  <c r="E49" i="2" s="1"/>
  <c r="D50" i="2"/>
  <c r="E50" i="2" s="1"/>
  <c r="D51" i="2"/>
  <c r="E51" i="2" s="1"/>
  <c r="D52" i="2"/>
  <c r="E52" i="2" s="1"/>
  <c r="D53" i="2"/>
  <c r="E53" i="2" s="1"/>
  <c r="D54" i="2"/>
  <c r="E54" i="2" s="1"/>
  <c r="D55" i="2"/>
  <c r="E55" i="2" s="1"/>
  <c r="D56" i="2"/>
  <c r="E56" i="2" s="1"/>
  <c r="D57" i="2"/>
  <c r="E57" i="2" s="1"/>
  <c r="D58" i="2"/>
  <c r="E58" i="2" s="1"/>
  <c r="D59" i="2"/>
  <c r="E59" i="2" s="1"/>
  <c r="D60" i="2"/>
  <c r="E60" i="2" s="1"/>
  <c r="D61" i="2"/>
  <c r="E61" i="2" s="1"/>
  <c r="D62" i="2"/>
  <c r="E62" i="2" s="1"/>
  <c r="D63" i="2"/>
  <c r="E63" i="2" s="1"/>
  <c r="D64" i="2"/>
  <c r="E64" i="2" s="1"/>
  <c r="D65" i="2"/>
  <c r="E65" i="2" s="1"/>
  <c r="D66" i="2"/>
  <c r="E66" i="2" s="1"/>
  <c r="D67" i="2"/>
  <c r="E67" i="2" s="1"/>
  <c r="D68" i="2"/>
  <c r="E68" i="2" s="1"/>
  <c r="D69" i="2"/>
  <c r="E69" i="2" s="1"/>
  <c r="D70" i="2"/>
  <c r="E70" i="2" s="1"/>
  <c r="D71" i="2"/>
  <c r="E71" i="2" s="1"/>
  <c r="D72" i="2"/>
  <c r="E72" i="2" s="1"/>
  <c r="D73" i="2"/>
  <c r="E73" i="2" s="1"/>
  <c r="D74" i="2"/>
  <c r="E74" i="2" s="1"/>
  <c r="D75" i="2"/>
  <c r="E75" i="2" s="1"/>
  <c r="D76" i="2"/>
  <c r="E76" i="2" s="1"/>
  <c r="D77" i="2"/>
  <c r="E77" i="2" s="1"/>
  <c r="D78" i="2"/>
  <c r="E78" i="2" s="1"/>
  <c r="D79" i="2"/>
  <c r="E79" i="2" s="1"/>
  <c r="D80" i="2"/>
  <c r="E80" i="2" s="1"/>
  <c r="D81" i="2"/>
  <c r="E81" i="2" s="1"/>
  <c r="D82" i="2"/>
  <c r="E82" i="2" s="1"/>
  <c r="D83" i="2"/>
  <c r="E83" i="2" s="1"/>
  <c r="D84" i="2"/>
  <c r="E84" i="2" s="1"/>
  <c r="D85" i="2"/>
  <c r="E85" i="2" s="1"/>
  <c r="D86" i="2"/>
  <c r="E86" i="2" s="1"/>
  <c r="D87" i="2"/>
  <c r="E87" i="2" s="1"/>
  <c r="D88" i="2"/>
  <c r="E88" i="2" s="1"/>
  <c r="D89" i="2"/>
  <c r="E89" i="2" s="1"/>
  <c r="D90" i="2"/>
  <c r="E90" i="2" s="1"/>
  <c r="D91" i="2"/>
  <c r="E91" i="2" s="1"/>
  <c r="D92" i="2"/>
  <c r="E92" i="2" s="1"/>
  <c r="D93" i="2"/>
  <c r="E93" i="2" s="1"/>
  <c r="D94" i="2"/>
  <c r="E94" i="2" s="1"/>
  <c r="D95" i="2"/>
  <c r="E95" i="2" s="1"/>
  <c r="D96" i="2"/>
  <c r="E96" i="2" s="1"/>
  <c r="D97" i="2"/>
  <c r="E97" i="2" s="1"/>
  <c r="D98" i="2"/>
  <c r="E98" i="2" s="1"/>
  <c r="D99" i="2"/>
  <c r="D100" i="2"/>
  <c r="D101" i="2"/>
  <c r="E101" i="2" s="1"/>
  <c r="D102" i="2"/>
  <c r="E102" i="2" s="1"/>
  <c r="D103" i="2"/>
  <c r="E103" i="2" s="1"/>
  <c r="D104" i="2"/>
  <c r="E104" i="2" s="1"/>
  <c r="D105" i="2"/>
  <c r="E105" i="2" s="1"/>
  <c r="D106" i="2"/>
  <c r="E106" i="2" s="1"/>
  <c r="D107" i="2"/>
  <c r="D108" i="2"/>
  <c r="E108" i="2" s="1"/>
  <c r="D109" i="2"/>
  <c r="E109" i="2" s="1"/>
  <c r="D110" i="2"/>
  <c r="E110" i="2" s="1"/>
  <c r="D111" i="2"/>
  <c r="E111" i="2" s="1"/>
  <c r="D112" i="2"/>
  <c r="E112" i="2" s="1"/>
  <c r="D113" i="2"/>
  <c r="E113" i="2" s="1"/>
  <c r="D114" i="2"/>
  <c r="E114" i="2" s="1"/>
  <c r="D115" i="2"/>
  <c r="E115" i="2" s="1"/>
  <c r="D116" i="2"/>
  <c r="D117" i="2"/>
  <c r="E117" i="2" s="1"/>
  <c r="D118" i="2"/>
  <c r="E118" i="2" s="1"/>
  <c r="D119" i="2"/>
  <c r="E119" i="2" s="1"/>
  <c r="D120" i="2"/>
  <c r="E120" i="2" s="1"/>
  <c r="D121" i="2"/>
  <c r="E121" i="2" s="1"/>
  <c r="D122" i="2"/>
  <c r="E122" i="2" s="1"/>
  <c r="D123" i="2"/>
  <c r="E123" i="2" s="1"/>
  <c r="D124" i="2"/>
  <c r="E124" i="2" s="1"/>
  <c r="D125" i="2"/>
  <c r="E125" i="2" s="1"/>
  <c r="D126" i="2"/>
  <c r="E126" i="2" s="1"/>
  <c r="D127" i="2"/>
  <c r="E127" i="2" s="1"/>
  <c r="D128" i="2"/>
  <c r="E128" i="2" s="1"/>
  <c r="D129" i="2"/>
  <c r="E129" i="2" s="1"/>
  <c r="D130" i="2"/>
  <c r="E130" i="2" s="1"/>
  <c r="D131" i="2"/>
  <c r="E131" i="2" s="1"/>
  <c r="D132" i="2"/>
  <c r="E132" i="2" s="1"/>
  <c r="D133" i="2"/>
  <c r="E133" i="2" s="1"/>
  <c r="D134" i="2"/>
  <c r="E134" i="2" s="1"/>
  <c r="D135" i="2"/>
  <c r="E135" i="2" s="1"/>
  <c r="D136" i="2"/>
  <c r="E136" i="2" s="1"/>
  <c r="D137" i="2"/>
  <c r="E137" i="2" s="1"/>
  <c r="D138" i="2"/>
  <c r="E138" i="2" s="1"/>
  <c r="D139" i="2"/>
  <c r="E139" i="2" s="1"/>
  <c r="D140" i="2"/>
  <c r="E140" i="2" s="1"/>
  <c r="D141" i="2"/>
  <c r="E141" i="2" s="1"/>
  <c r="D142" i="2"/>
  <c r="E142" i="2" s="1"/>
  <c r="D143" i="2"/>
  <c r="E143" i="2" s="1"/>
  <c r="D144" i="2"/>
  <c r="E144" i="2" s="1"/>
  <c r="D145" i="2"/>
  <c r="E145" i="2" s="1"/>
  <c r="D146" i="2"/>
  <c r="E146" i="2" s="1"/>
  <c r="D147" i="2"/>
  <c r="E147" i="2" s="1"/>
  <c r="D148" i="2"/>
  <c r="D149" i="2"/>
  <c r="D150" i="2"/>
  <c r="E150" i="2" s="1"/>
  <c r="D151" i="2"/>
  <c r="E151" i="2" s="1"/>
  <c r="D152" i="2"/>
  <c r="E152" i="2" s="1"/>
  <c r="D153" i="2"/>
  <c r="E153" i="2" s="1"/>
  <c r="D154" i="2"/>
  <c r="E154" i="2" s="1"/>
  <c r="D155" i="2"/>
  <c r="E155" i="2" s="1"/>
  <c r="D156" i="2"/>
  <c r="E156" i="2" s="1"/>
  <c r="D157" i="2"/>
  <c r="E157" i="2" s="1"/>
  <c r="D158" i="2"/>
  <c r="E158" i="2" s="1"/>
  <c r="D159" i="2"/>
  <c r="E159" i="2" s="1"/>
  <c r="D160" i="2"/>
  <c r="E160" i="2" s="1"/>
  <c r="D161" i="2"/>
  <c r="E161" i="2" s="1"/>
  <c r="D162" i="2"/>
  <c r="E162" i="2" s="1"/>
  <c r="D163" i="2"/>
  <c r="E163" i="2" s="1"/>
  <c r="D164" i="2"/>
  <c r="E164" i="2" s="1"/>
  <c r="D165" i="2"/>
  <c r="E165" i="2" s="1"/>
  <c r="D166" i="2"/>
  <c r="E166" i="2" s="1"/>
  <c r="D167" i="2"/>
  <c r="E167" i="2" s="1"/>
  <c r="D168" i="2"/>
  <c r="E168" i="2" s="1"/>
  <c r="D169" i="2"/>
  <c r="E169" i="2" s="1"/>
  <c r="D170" i="2"/>
  <c r="E170" i="2" s="1"/>
  <c r="D171" i="2"/>
  <c r="E171" i="2" s="1"/>
  <c r="D172" i="2"/>
  <c r="E172" i="2" s="1"/>
  <c r="D173" i="2"/>
  <c r="E173" i="2" s="1"/>
  <c r="D174" i="2"/>
  <c r="E174" i="2" s="1"/>
  <c r="D175" i="2"/>
  <c r="E175" i="2" s="1"/>
  <c r="D176" i="2"/>
  <c r="E176" i="2" s="1"/>
  <c r="D177" i="2"/>
  <c r="E177" i="2" s="1"/>
  <c r="D178" i="2"/>
  <c r="E178" i="2" s="1"/>
  <c r="D179" i="2"/>
  <c r="E179" i="2" s="1"/>
  <c r="D180" i="2"/>
  <c r="E180" i="2" s="1"/>
  <c r="D181" i="2"/>
  <c r="D182" i="2"/>
  <c r="E182" i="2" s="1"/>
  <c r="D183" i="2"/>
  <c r="E183" i="2" s="1"/>
  <c r="D184" i="2"/>
  <c r="E184" i="2" s="1"/>
  <c r="D185" i="2"/>
  <c r="E185" i="2" s="1"/>
  <c r="D186" i="2"/>
  <c r="E186" i="2" s="1"/>
  <c r="D187" i="2"/>
  <c r="E187" i="2" s="1"/>
  <c r="D188" i="2"/>
  <c r="E188" i="2" s="1"/>
  <c r="D189" i="2"/>
  <c r="E189" i="2" s="1"/>
  <c r="D190" i="2"/>
  <c r="E190" i="2" s="1"/>
  <c r="D191" i="2"/>
  <c r="E191" i="2" s="1"/>
  <c r="D192" i="2"/>
  <c r="E192" i="2" s="1"/>
  <c r="D193" i="2"/>
  <c r="E193" i="2" s="1"/>
  <c r="D194" i="2"/>
  <c r="E194" i="2" s="1"/>
  <c r="D195" i="2"/>
  <c r="E195" i="2" s="1"/>
  <c r="D196" i="2"/>
  <c r="E196" i="2" s="1"/>
  <c r="D197" i="2"/>
  <c r="E197" i="2" s="1"/>
  <c r="D198" i="2"/>
  <c r="E198" i="2" s="1"/>
  <c r="D199" i="2"/>
  <c r="E199" i="2" s="1"/>
  <c r="D200" i="2"/>
  <c r="E200" i="2" s="1"/>
  <c r="D201" i="2"/>
  <c r="E201" i="2" s="1"/>
  <c r="D202" i="2"/>
  <c r="E202" i="2" s="1"/>
  <c r="D203" i="2"/>
  <c r="E203" i="2" s="1"/>
  <c r="D204" i="2"/>
  <c r="E204" i="2" s="1"/>
  <c r="D205" i="2"/>
  <c r="D206" i="2"/>
  <c r="E206" i="2" s="1"/>
  <c r="D207" i="2"/>
  <c r="E207" i="2" s="1"/>
  <c r="D208" i="2"/>
  <c r="E208" i="2" s="1"/>
  <c r="D209" i="2"/>
  <c r="E209" i="2" s="1"/>
  <c r="D210" i="2"/>
  <c r="E210" i="2" s="1"/>
  <c r="D211" i="2"/>
  <c r="E211" i="2" s="1"/>
  <c r="D212" i="2"/>
  <c r="E212" i="2" s="1"/>
  <c r="D213" i="2"/>
  <c r="E213" i="2" s="1"/>
  <c r="D214" i="2"/>
  <c r="D215" i="2"/>
  <c r="D216" i="2"/>
  <c r="D217" i="2"/>
  <c r="D218" i="2"/>
  <c r="E218" i="2" s="1"/>
  <c r="D219" i="2"/>
  <c r="E219" i="2" s="1"/>
  <c r="D220" i="2"/>
  <c r="E220" i="2" s="1"/>
  <c r="D221" i="2"/>
  <c r="E221" i="2" s="1"/>
  <c r="D222" i="2"/>
  <c r="E222" i="2" s="1"/>
  <c r="D223" i="2"/>
  <c r="E223" i="2" s="1"/>
  <c r="D224" i="2"/>
  <c r="E224" i="2" s="1"/>
  <c r="D225" i="2"/>
  <c r="E225" i="2" s="1"/>
  <c r="D226" i="2"/>
  <c r="E226" i="2" s="1"/>
  <c r="D227" i="2"/>
  <c r="E227" i="2" s="1"/>
  <c r="D228" i="2"/>
  <c r="E228" i="2" s="1"/>
  <c r="D229" i="2"/>
  <c r="E229" i="2" s="1"/>
  <c r="D230" i="2"/>
  <c r="E230" i="2" s="1"/>
  <c r="D231" i="2"/>
  <c r="E231" i="2" s="1"/>
  <c r="D232" i="2"/>
  <c r="E232" i="2" s="1"/>
  <c r="D233" i="2"/>
  <c r="E233" i="2" s="1"/>
  <c r="D234" i="2"/>
  <c r="E234" i="2" s="1"/>
  <c r="D235" i="2"/>
  <c r="E235" i="2" s="1"/>
  <c r="D236" i="2"/>
  <c r="E236" i="2" s="1"/>
  <c r="D237" i="2"/>
  <c r="E237" i="2" s="1"/>
  <c r="D238" i="2"/>
  <c r="E238" i="2" s="1"/>
  <c r="D239" i="2"/>
  <c r="E239" i="2" s="1"/>
  <c r="D240" i="2"/>
  <c r="E240" i="2" s="1"/>
  <c r="D241" i="2"/>
  <c r="E241" i="2" s="1"/>
  <c r="D242" i="2"/>
  <c r="E242" i="2" s="1"/>
  <c r="D243" i="2"/>
  <c r="E243" i="2" s="1"/>
  <c r="D244" i="2"/>
  <c r="E244" i="2" s="1"/>
  <c r="D245" i="2"/>
  <c r="E245" i="2" s="1"/>
  <c r="D246" i="2"/>
  <c r="E246" i="2" s="1"/>
  <c r="D247" i="2"/>
  <c r="E247" i="2" s="1"/>
  <c r="D248" i="2"/>
  <c r="E248" i="2" s="1"/>
  <c r="D249" i="2"/>
  <c r="E249" i="2" s="1"/>
  <c r="D250" i="2"/>
  <c r="E250" i="2" s="1"/>
  <c r="D251" i="2"/>
  <c r="E251" i="2" s="1"/>
  <c r="D252" i="2"/>
  <c r="E252" i="2" s="1"/>
  <c r="D253" i="2"/>
  <c r="E253" i="2" s="1"/>
  <c r="D254" i="2"/>
  <c r="E254" i="2" s="1"/>
  <c r="D255" i="2"/>
  <c r="E255" i="2" s="1"/>
  <c r="D256" i="2"/>
  <c r="E256" i="2" s="1"/>
  <c r="D257" i="2"/>
  <c r="E257" i="2" s="1"/>
  <c r="D258" i="2"/>
  <c r="E258" i="2" s="1"/>
  <c r="D259" i="2"/>
  <c r="E259" i="2" s="1"/>
  <c r="D260" i="2"/>
  <c r="E260" i="2" s="1"/>
  <c r="D261" i="2"/>
  <c r="E261" i="2" s="1"/>
  <c r="D262" i="2"/>
  <c r="E262" i="2" s="1"/>
  <c r="D263" i="2"/>
  <c r="E263" i="2" s="1"/>
  <c r="D264" i="2"/>
  <c r="E264" i="2" s="1"/>
  <c r="D265" i="2"/>
  <c r="E265" i="2" s="1"/>
  <c r="D266" i="2"/>
  <c r="E266" i="2" s="1"/>
  <c r="D267" i="2"/>
  <c r="E267" i="2" s="1"/>
  <c r="D268" i="2"/>
  <c r="E268" i="2" s="1"/>
  <c r="D269" i="2"/>
  <c r="E269" i="2" s="1"/>
  <c r="D270" i="2"/>
  <c r="E270" i="2" s="1"/>
  <c r="D271" i="2"/>
  <c r="E271" i="2" s="1"/>
  <c r="D272" i="2"/>
  <c r="E272" i="2" s="1"/>
  <c r="D273" i="2"/>
  <c r="E273" i="2" s="1"/>
  <c r="D274" i="2"/>
  <c r="E274" i="2" s="1"/>
  <c r="D275" i="2"/>
  <c r="E275" i="2" s="1"/>
  <c r="D276" i="2"/>
  <c r="E276" i="2" s="1"/>
  <c r="D277" i="2"/>
  <c r="E277" i="2" s="1"/>
  <c r="D278" i="2"/>
  <c r="E278" i="2" s="1"/>
  <c r="D279" i="2"/>
  <c r="E279" i="2" s="1"/>
  <c r="D280" i="2"/>
  <c r="E280" i="2" s="1"/>
  <c r="D281" i="2"/>
  <c r="E281" i="2" s="1"/>
  <c r="D282" i="2"/>
  <c r="E282" i="2" s="1"/>
  <c r="D283" i="2"/>
  <c r="E283" i="2" s="1"/>
  <c r="D284" i="2"/>
  <c r="E284" i="2" s="1"/>
  <c r="D285" i="2"/>
  <c r="E285" i="2" s="1"/>
  <c r="D286" i="2"/>
  <c r="E286" i="2" s="1"/>
  <c r="D287" i="2"/>
  <c r="E287" i="2" s="1"/>
  <c r="D288" i="2"/>
  <c r="E288" i="2" s="1"/>
  <c r="D289" i="2"/>
  <c r="E289" i="2" s="1"/>
  <c r="D290" i="2"/>
  <c r="E290" i="2" s="1"/>
  <c r="D291" i="2"/>
  <c r="E291" i="2" s="1"/>
  <c r="D292" i="2"/>
  <c r="E292" i="2" s="1"/>
  <c r="D293" i="2"/>
  <c r="E293" i="2" s="1"/>
  <c r="D294" i="2"/>
  <c r="E294" i="2" s="1"/>
  <c r="D295" i="2"/>
  <c r="E295" i="2" s="1"/>
  <c r="D296" i="2"/>
  <c r="E296" i="2" s="1"/>
  <c r="D297" i="2"/>
  <c r="E297" i="2" s="1"/>
  <c r="D298" i="2"/>
  <c r="E298" i="2" s="1"/>
  <c r="D299" i="2"/>
  <c r="E299" i="2" s="1"/>
  <c r="D300" i="2"/>
  <c r="E300" i="2" s="1"/>
  <c r="D301" i="2"/>
  <c r="E301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8C0E48-3CB4-4DD5-903D-42CCC81F1AF5}" keepAlive="1" name="查询 - 表1" description="与工作簿中“表1”查询的连接。" type="5" refreshedVersion="8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<sst xmlns="http://schemas.openxmlformats.org/spreadsheetml/2006/main" count="681" uniqueCount="51">
  <si>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</si>
  <si>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</si>
  <si>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</si>
  <si>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</si>
  <si>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</si>
  <si>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</si>
  <si>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</si>
  <si>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</si>
  <si>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</si>
  <si>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</si>
  <si>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</si>
  <si>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</si>
  <si>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</si>
  <si>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</si>
  <si>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</si>
  <si>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</si>
  <si>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</si>
  <si>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</si>
  <si>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</si>
  <si>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</si>
  <si>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</si>
  <si>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</si>
  <si>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</si>
  <si>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</si>
  <si>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</si>
  <si>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</si>
  <si>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</si>
  <si>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</si>
  <si>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</si>
  <si>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</si>
  <si>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地区</t>
  </si>
  <si>
    <t>地区</t>
    <phoneticPr fontId="1" type="noConversion"/>
  </si>
  <si>
    <t xml:space="preserve">2012 </t>
  </si>
  <si>
    <t xml:space="preserve">2013 </t>
  </si>
  <si>
    <t xml:space="preserve">2014 </t>
  </si>
  <si>
    <t xml:space="preserve">2015 </t>
  </si>
  <si>
    <t xml:space="preserve">2016 </t>
  </si>
  <si>
    <t xml:space="preserve">2017 </t>
  </si>
  <si>
    <t xml:space="preserve">2018 </t>
  </si>
  <si>
    <t xml:space="preserve">2019 </t>
  </si>
  <si>
    <t xml:space="preserve">2020 </t>
  </si>
  <si>
    <t xml:space="preserve">2021 </t>
  </si>
  <si>
    <t xml:space="preserve">2022 </t>
  </si>
  <si>
    <t xml:space="preserve">2023 </t>
  </si>
  <si>
    <t xml:space="preserve">2024 </t>
  </si>
  <si>
    <t>年份</t>
    <phoneticPr fontId="1" type="noConversion"/>
  </si>
  <si>
    <t>新产品开发项目数</t>
    <phoneticPr fontId="1" type="noConversion"/>
  </si>
  <si>
    <t>行政区划</t>
    <phoneticPr fontId="1" type="noConversion"/>
  </si>
  <si>
    <t>id</t>
    <phoneticPr fontId="1" type="noConversion"/>
  </si>
  <si>
    <t>省份</t>
  </si>
  <si>
    <t>行政区划代码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</si>
</sst>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17">
    <dxf>
      <numFmt numFmtId="176" formatCode="0_);[Red]\(0\)"/>
    </dxf>
    <dxf>
      <numFmt numFmtId="176" formatCode="0_);[Red]\(0\)"/>
    </dxf>
    <dxf>
      <numFmt numFmtId="176" formatCode="0_);[Red]\(0\)"/>
    </dxf>
    <dxf>
      <numFmt numFmtId="176" formatCode="0_);[Red]\(0\)"/>
    </dxf>
    <dxf>
      <numFmt numFmtId="176" formatCode="0_);[Red]\(0\)"/>
    </dxf>
    <dxf>
      <numFmt numFmtId="176" formatCode="0_);[Red]\(0\)"/>
    </dxf>
    <dxf>
      <numFmt numFmtId="176" formatCode="0_);[Red]\(0\)"/>
    </dxf>
    <dxf>
      <numFmt numFmtId="176" formatCode="0_);[Red]\(0\)"/>
    </dxf>
    <dxf>
      <numFmt numFmtId="176" formatCode="0_);[Red]\(0\)"/>
    </dxf>
    <dxf>
      <numFmt numFmtId="176" formatCode="0_);[Red]\(0\)"/>
    </dxf>
    <dxf>
      <numFmt numFmtId="176" formatCode="0_);[Red]\(0\)"/>
    </dxf>
    <dxf>
      <numFmt numFmtId="176" formatCode="0_);[Red]\(0\)"/>
    </dxf>
    <dxf>
      <numFmt numFmtId="176" formatCode="0_);[Red]\(0\)"/>
    </dxf>
    <dxf>
      <numFmt numFmtId="176" formatCode="0_);[Red]\(0\)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30254C0-11AC-419F-ACBF-B6E55EA072A3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地区" tableColumnId="1"/>
      <queryTableField id="2" name="属性" tableColumnId="2"/>
      <queryTableField id="3" name="值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C4FDC4-1E3F-4FA6-BBA9-D8F6CAA0C023}" name="表1_" displayName="表1_" ref="A1:E301" tableType="queryTable" totalsRowShown="0">
  <autoFilter ref="A1:E301" xr:uid="{13C4FDC4-1E3F-4FA6-BBA9-D8F6CAA0C023}"/>
  <tableColumns count="5">
    <tableColumn id="1" xr3:uid="{5FF7BB25-C8B2-47CC-92EF-642AE9A01C75}" uniqueName="1" name="地区" queryTableFieldId="1"/>
    <tableColumn id="2" xr3:uid="{7EA047FF-46EE-40C7-8786-F9833FE49884}" uniqueName="2" name="年份" queryTableFieldId="2"/>
    <tableColumn id="3" xr3:uid="{D56AD334-44E2-4A7E-8E98-959435FE7A27}" uniqueName="3" name="新产品开发项目数" queryTableFieldId="3" dataDxfId="16"/>
    <tableColumn id="4" xr3:uid="{08BB419F-0984-4B3F-A9C8-6B82A5165C69}" uniqueName="4" name="行政区划" queryTableFieldId="4" dataDxfId="15">
      <calculatedColumnFormula>VLOOKUP(表1_[[#This Row],[地区]],Sheet2!A:B,2,0)</calculatedColumnFormula>
    </tableColumn>
    <tableColumn id="5" xr3:uid="{325A9642-D87E-49FA-ADF3-33FA5531A916}" uniqueName="5" name="id" queryTableFieldId="5" dataDxfId="14">
      <calculatedColumnFormula>表1_[[#This Row],[年份]]+表1_[[#This Row],[行政区划]]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2DF872-BE2D-4D92-AC9B-A6A8A1E2F69F}" name="表1" displayName="表1" ref="A1:N31" totalsRowShown="0" headerRowDxfId="13">
  <autoFilter ref="A1:N31" xr:uid="{BA2DF872-BE2D-4D92-AC9B-A6A8A1E2F69F}"/>
  <tableColumns count="14">
    <tableColumn id="1" xr3:uid="{A59FEAA8-8A59-4268-AA2C-9C56A96B8887}" name="地区"/>
    <tableColumn id="2" xr3:uid="{E5324438-93E4-4581-BD2F-524FFDB91D64}" name="2012 " dataDxfId="12"/>
    <tableColumn id="3" xr3:uid="{93CBDDE0-D6AC-495B-A24D-48D7F1CA4A9A}" name="2013 " dataDxfId="11"/>
    <tableColumn id="4" xr3:uid="{4D6A4CF0-541F-4D61-BE1E-B40C6A8B54DF}" name="2014 " dataDxfId="10"/>
    <tableColumn id="5" xr3:uid="{73CE6A63-2E6B-48AC-9A7E-CD5E281C3FE6}" name="2015 " dataDxfId="9"/>
    <tableColumn id="6" xr3:uid="{26C609EE-E52C-41D8-B4F2-95C36F9E4C7F}" name="2016 " dataDxfId="8"/>
    <tableColumn id="7" xr3:uid="{E94B55BA-FBD7-4AEB-BBBB-89FAA4DB28EB}" name="2017 " dataDxfId="7"/>
    <tableColumn id="8" xr3:uid="{FEF49344-7203-43E7-8CA3-FA9F7CB75A8C}" name="2018 " dataDxfId="6"/>
    <tableColumn id="9" xr3:uid="{3BA40194-D2EC-4558-891C-CCE5FF45C2F8}" name="2019 " dataDxfId="5"/>
    <tableColumn id="10" xr3:uid="{ABBC8855-E2BE-44A6-8434-13450F9119B4}" name="2020 " dataDxfId="4"/>
    <tableColumn id="11" xr3:uid="{53320F53-DF5F-4ABD-80CD-56066F4802FD}" name="2021 " dataDxfId="3"/>
    <tableColumn id="12" xr3:uid="{9C732748-897B-4A6D-986D-8A233E64763F}" name="2022 " dataDxfId="2"/>
    <tableColumn id="13" xr3:uid="{EE77E895-4F71-4B9A-A137-E129C683FED7}" name="2023 " dataDxfId="1"/>
    <tableColumn id="14" xr3:uid="{A4DF7A7D-589C-4DC1-8957-D1C40E72AF4F}" name="2024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3283A-630C-4068-8036-F6C1E132EB21}">
  <dimension ref="A1:E301"/>
  <sheetViews>
    <sheetView tabSelected="1" workbookViewId="0">
      <selection activeCell="K5" sqref="K5"/>
    </sheetView>
  </sheetViews>
  <sheetFormatPr defaultRowHeight="13.9" x14ac:dyDescent="0.4"/>
  <cols>
    <col min="1" max="2" width="7.1328125" bestFit="1" customWidth="1"/>
    <col min="3" max="3" width="19.73046875" style="2" customWidth="1"/>
  </cols>
  <sheetData>
    <row r="1" spans="1:5" x14ac:dyDescent="0.4">
      <c r="A1" t="s">
        <v>30</v>
      </c>
      <c r="B1" t="s">
        <v>45</v>
      </c>
      <c r="C1" s="2" t="s">
        <v>46</v>
      </c>
      <c r="D1" t="s">
        <v>47</v>
      </c>
      <c r="E1" t="s">
        <v>48</v>
      </c>
    </row>
    <row r="2" spans="1:5" x14ac:dyDescent="0.4">
      <c r="A2" t="s">
        <v>0</v>
      </c>
      <c r="B2" t="s">
        <v>34</v>
      </c>
      <c r="C2" s="2">
        <v>12259</v>
      </c>
      <c r="D2">
        <f>VLOOKUP(表1_[[#This Row],[地区]],Sheet2!A:B,2,0)</f>
        <v>110000</v>
      </c>
      <c r="E2">
        <f>表1_[[#This Row],[年份]]+表1_[[#This Row],[行政区划]]</f>
        <v>112014</v>
      </c>
    </row>
    <row r="3" spans="1:5" x14ac:dyDescent="0.4">
      <c r="A3" t="s">
        <v>0</v>
      </c>
      <c r="B3" t="s">
        <v>35</v>
      </c>
      <c r="C3" s="2">
        <v>10580</v>
      </c>
      <c r="D3">
        <f>VLOOKUP(表1_[[#This Row],[地区]],Sheet2!A:B,2,0)</f>
        <v>110000</v>
      </c>
      <c r="E3">
        <f>表1_[[#This Row],[年份]]+表1_[[#This Row],[行政区划]]</f>
        <v>112015</v>
      </c>
    </row>
    <row r="4" spans="1:5" x14ac:dyDescent="0.4">
      <c r="A4" t="s">
        <v>0</v>
      </c>
      <c r="B4" t="s">
        <v>36</v>
      </c>
      <c r="C4" s="2">
        <v>10304</v>
      </c>
      <c r="D4">
        <f>VLOOKUP(表1_[[#This Row],[地区]],Sheet2!A:B,2,0)</f>
        <v>110000</v>
      </c>
      <c r="E4">
        <f>表1_[[#This Row],[年份]]+表1_[[#This Row],[行政区划]]</f>
        <v>112016</v>
      </c>
    </row>
    <row r="5" spans="1:5" x14ac:dyDescent="0.4">
      <c r="A5" t="s">
        <v>0</v>
      </c>
      <c r="B5" t="s">
        <v>37</v>
      </c>
      <c r="C5" s="2">
        <v>10490</v>
      </c>
      <c r="D5">
        <f>VLOOKUP(表1_[[#This Row],[地区]],Sheet2!A:B,2,0)</f>
        <v>110000</v>
      </c>
      <c r="E5">
        <f>表1_[[#This Row],[年份]]+表1_[[#This Row],[行政区划]]</f>
        <v>112017</v>
      </c>
    </row>
    <row r="6" spans="1:5" x14ac:dyDescent="0.4">
      <c r="A6" t="s">
        <v>0</v>
      </c>
      <c r="B6" t="s">
        <v>38</v>
      </c>
      <c r="C6" s="2">
        <v>11010</v>
      </c>
      <c r="D6">
        <f>VLOOKUP(表1_[[#This Row],[地区]],Sheet2!A:B,2,0)</f>
        <v>110000</v>
      </c>
      <c r="E6">
        <f>表1_[[#This Row],[年份]]+表1_[[#This Row],[行政区划]]</f>
        <v>112018</v>
      </c>
    </row>
    <row r="7" spans="1:5" x14ac:dyDescent="0.4">
      <c r="A7" t="s">
        <v>0</v>
      </c>
      <c r="B7" t="s">
        <v>39</v>
      </c>
      <c r="C7" s="2">
        <v>12142</v>
      </c>
      <c r="D7">
        <f>VLOOKUP(表1_[[#This Row],[地区]],Sheet2!A:B,2,0)</f>
        <v>110000</v>
      </c>
      <c r="E7">
        <f>表1_[[#This Row],[年份]]+表1_[[#This Row],[行政区划]]</f>
        <v>112019</v>
      </c>
    </row>
    <row r="8" spans="1:5" x14ac:dyDescent="0.4">
      <c r="A8" t="s">
        <v>0</v>
      </c>
      <c r="B8" t="s">
        <v>40</v>
      </c>
      <c r="C8" s="2">
        <v>13188</v>
      </c>
      <c r="D8">
        <f>VLOOKUP(表1_[[#This Row],[地区]],Sheet2!A:B,2,0)</f>
        <v>110000</v>
      </c>
      <c r="E8">
        <f>表1_[[#This Row],[年份]]+表1_[[#This Row],[行政区划]]</f>
        <v>112020</v>
      </c>
    </row>
    <row r="9" spans="1:5" x14ac:dyDescent="0.4">
      <c r="A9" t="s">
        <v>0</v>
      </c>
      <c r="B9" t="s">
        <v>41</v>
      </c>
      <c r="C9" s="2">
        <v>15199</v>
      </c>
      <c r="D9">
        <f>VLOOKUP(表1_[[#This Row],[地区]],Sheet2!A:B,2,0)</f>
        <v>110000</v>
      </c>
      <c r="E9">
        <f>表1_[[#This Row],[年份]]+表1_[[#This Row],[行政区划]]</f>
        <v>112021</v>
      </c>
    </row>
    <row r="10" spans="1:5" x14ac:dyDescent="0.4">
      <c r="A10" t="s">
        <v>0</v>
      </c>
      <c r="B10" t="s">
        <v>42</v>
      </c>
      <c r="C10" s="2">
        <v>16838</v>
      </c>
      <c r="D10">
        <f>VLOOKUP(表1_[[#This Row],[地区]],Sheet2!A:B,2,0)</f>
        <v>110000</v>
      </c>
      <c r="E10">
        <f>表1_[[#This Row],[年份]]+表1_[[#This Row],[行政区划]]</f>
        <v>112022</v>
      </c>
    </row>
    <row r="11" spans="1:5" x14ac:dyDescent="0.4">
      <c r="A11" t="s">
        <v>0</v>
      </c>
      <c r="B11" t="s">
        <v>43</v>
      </c>
      <c r="C11" s="2">
        <v>18031</v>
      </c>
      <c r="D11">
        <f>VLOOKUP(表1_[[#This Row],[地区]],Sheet2!A:B,2,0)</f>
        <v>110000</v>
      </c>
      <c r="E11">
        <f>表1_[[#This Row],[年份]]+表1_[[#This Row],[行政区划]]</f>
        <v>112023</v>
      </c>
    </row>
    <row r="12" spans="1:5" x14ac:dyDescent="0.4">
      <c r="A12" t="s">
        <v>1</v>
      </c>
      <c r="B12" t="s">
        <v>34</v>
      </c>
      <c r="C12" s="2">
        <v>13213</v>
      </c>
      <c r="D12">
        <f>VLOOKUP(表1_[[#This Row],[地区]],Sheet2!A:B,2,0)</f>
        <v>120000</v>
      </c>
      <c r="E12">
        <f>表1_[[#This Row],[年份]]+表1_[[#This Row],[行政区划]]</f>
        <v>122014</v>
      </c>
    </row>
    <row r="13" spans="1:5" x14ac:dyDescent="0.4">
      <c r="A13" t="s">
        <v>1</v>
      </c>
      <c r="B13" t="s">
        <v>35</v>
      </c>
      <c r="C13" s="2">
        <v>9800</v>
      </c>
      <c r="D13">
        <f>VLOOKUP(表1_[[#This Row],[地区]],Sheet2!A:B,2,0)</f>
        <v>120000</v>
      </c>
      <c r="E13">
        <f>表1_[[#This Row],[年份]]+表1_[[#This Row],[行政区划]]</f>
        <v>122015</v>
      </c>
    </row>
    <row r="14" spans="1:5" x14ac:dyDescent="0.4">
      <c r="A14" t="s">
        <v>1</v>
      </c>
      <c r="B14" t="s">
        <v>36</v>
      </c>
      <c r="C14" s="2">
        <v>10767</v>
      </c>
      <c r="D14">
        <f>VLOOKUP(表1_[[#This Row],[地区]],Sheet2!A:B,2,0)</f>
        <v>120000</v>
      </c>
      <c r="E14">
        <f>表1_[[#This Row],[年份]]+表1_[[#This Row],[行政区划]]</f>
        <v>122016</v>
      </c>
    </row>
    <row r="15" spans="1:5" x14ac:dyDescent="0.4">
      <c r="A15" t="s">
        <v>1</v>
      </c>
      <c r="B15" t="s">
        <v>37</v>
      </c>
      <c r="C15" s="2">
        <v>11373</v>
      </c>
      <c r="D15">
        <f>VLOOKUP(表1_[[#This Row],[地区]],Sheet2!A:B,2,0)</f>
        <v>120000</v>
      </c>
      <c r="E15">
        <f>表1_[[#This Row],[年份]]+表1_[[#This Row],[行政区划]]</f>
        <v>122017</v>
      </c>
    </row>
    <row r="16" spans="1:5" x14ac:dyDescent="0.4">
      <c r="A16" t="s">
        <v>1</v>
      </c>
      <c r="B16" t="s">
        <v>38</v>
      </c>
      <c r="C16" s="2">
        <v>11797</v>
      </c>
      <c r="D16">
        <f>VLOOKUP(表1_[[#This Row],[地区]],Sheet2!A:B,2,0)</f>
        <v>120000</v>
      </c>
      <c r="E16">
        <f>表1_[[#This Row],[年份]]+表1_[[#This Row],[行政区划]]</f>
        <v>122018</v>
      </c>
    </row>
    <row r="17" spans="1:5" x14ac:dyDescent="0.4">
      <c r="A17" t="s">
        <v>1</v>
      </c>
      <c r="B17" t="s">
        <v>39</v>
      </c>
      <c r="C17" s="2">
        <v>12714</v>
      </c>
      <c r="D17">
        <f>VLOOKUP(表1_[[#This Row],[地区]],Sheet2!A:B,2,0)</f>
        <v>120000</v>
      </c>
      <c r="E17">
        <f>表1_[[#This Row],[年份]]+表1_[[#This Row],[行政区划]]</f>
        <v>122019</v>
      </c>
    </row>
    <row r="18" spans="1:5" x14ac:dyDescent="0.4">
      <c r="A18" t="s">
        <v>1</v>
      </c>
      <c r="B18" t="s">
        <v>40</v>
      </c>
      <c r="C18" s="2">
        <v>14449</v>
      </c>
      <c r="D18">
        <f>VLOOKUP(表1_[[#This Row],[地区]],Sheet2!A:B,2,0)</f>
        <v>120000</v>
      </c>
      <c r="E18">
        <f>表1_[[#This Row],[年份]]+表1_[[#This Row],[行政区划]]</f>
        <v>122020</v>
      </c>
    </row>
    <row r="19" spans="1:5" x14ac:dyDescent="0.4">
      <c r="A19" t="s">
        <v>1</v>
      </c>
      <c r="B19" t="s">
        <v>41</v>
      </c>
      <c r="C19" s="2">
        <v>16501</v>
      </c>
      <c r="D19">
        <f>VLOOKUP(表1_[[#This Row],[地区]],Sheet2!A:B,2,0)</f>
        <v>120000</v>
      </c>
      <c r="E19">
        <f>表1_[[#This Row],[年份]]+表1_[[#This Row],[行政区划]]</f>
        <v>122021</v>
      </c>
    </row>
    <row r="20" spans="1:5" x14ac:dyDescent="0.4">
      <c r="A20" t="s">
        <v>1</v>
      </c>
      <c r="B20" t="s">
        <v>42</v>
      </c>
      <c r="C20" s="2">
        <v>16711</v>
      </c>
      <c r="D20">
        <f>VLOOKUP(表1_[[#This Row],[地区]],Sheet2!A:B,2,0)</f>
        <v>120000</v>
      </c>
      <c r="E20">
        <f>表1_[[#This Row],[年份]]+表1_[[#This Row],[行政区划]]</f>
        <v>122022</v>
      </c>
    </row>
    <row r="21" spans="1:5" x14ac:dyDescent="0.4">
      <c r="A21" t="s">
        <v>1</v>
      </c>
      <c r="B21" t="s">
        <v>43</v>
      </c>
      <c r="C21" s="2">
        <v>17475</v>
      </c>
      <c r="D21">
        <f>VLOOKUP(表1_[[#This Row],[地区]],Sheet2!A:B,2,0)</f>
        <v>120000</v>
      </c>
      <c r="E21">
        <f>表1_[[#This Row],[年份]]+表1_[[#This Row],[行政区划]]</f>
        <v>122023</v>
      </c>
    </row>
    <row r="22" spans="1:5" x14ac:dyDescent="0.4">
      <c r="A22" t="s">
        <v>2</v>
      </c>
      <c r="B22" t="s">
        <v>34</v>
      </c>
      <c r="C22" s="2">
        <v>8024</v>
      </c>
      <c r="D22">
        <f>VLOOKUP(表1_[[#This Row],[地区]],Sheet2!A:B,2,0)</f>
        <v>130000</v>
      </c>
      <c r="E22">
        <f>表1_[[#This Row],[年份]]+表1_[[#This Row],[行政区划]]</f>
        <v>132014</v>
      </c>
    </row>
    <row r="23" spans="1:5" x14ac:dyDescent="0.4">
      <c r="A23" t="s">
        <v>2</v>
      </c>
      <c r="B23" t="s">
        <v>35</v>
      </c>
      <c r="C23" s="2">
        <v>7489</v>
      </c>
      <c r="D23">
        <f>VLOOKUP(表1_[[#This Row],[地区]],Sheet2!A:B,2,0)</f>
        <v>130000</v>
      </c>
      <c r="E23">
        <f>表1_[[#This Row],[年份]]+表1_[[#This Row],[行政区划]]</f>
        <v>132015</v>
      </c>
    </row>
    <row r="24" spans="1:5" x14ac:dyDescent="0.4">
      <c r="A24" t="s">
        <v>2</v>
      </c>
      <c r="B24" t="s">
        <v>36</v>
      </c>
      <c r="C24" s="2">
        <v>8428</v>
      </c>
      <c r="D24">
        <f>VLOOKUP(表1_[[#This Row],[地区]],Sheet2!A:B,2,0)</f>
        <v>130000</v>
      </c>
      <c r="E24">
        <f>表1_[[#This Row],[年份]]+表1_[[#This Row],[行政区划]]</f>
        <v>132016</v>
      </c>
    </row>
    <row r="25" spans="1:5" x14ac:dyDescent="0.4">
      <c r="A25" t="s">
        <v>2</v>
      </c>
      <c r="B25" t="s">
        <v>37</v>
      </c>
      <c r="C25" s="2">
        <v>10238</v>
      </c>
      <c r="D25">
        <f>VLOOKUP(表1_[[#This Row],[地区]],Sheet2!A:B,2,0)</f>
        <v>130000</v>
      </c>
      <c r="E25">
        <f>表1_[[#This Row],[年份]]+表1_[[#This Row],[行政区划]]</f>
        <v>132017</v>
      </c>
    </row>
    <row r="26" spans="1:5" x14ac:dyDescent="0.4">
      <c r="A26" t="s">
        <v>2</v>
      </c>
      <c r="B26" t="s">
        <v>38</v>
      </c>
      <c r="C26" s="2">
        <v>11449</v>
      </c>
      <c r="D26">
        <f>VLOOKUP(表1_[[#This Row],[地区]],Sheet2!A:B,2,0)</f>
        <v>130000</v>
      </c>
      <c r="E26">
        <f>表1_[[#This Row],[年份]]+表1_[[#This Row],[行政区划]]</f>
        <v>132018</v>
      </c>
    </row>
    <row r="27" spans="1:5" x14ac:dyDescent="0.4">
      <c r="A27" t="s">
        <v>2</v>
      </c>
      <c r="B27" t="s">
        <v>39</v>
      </c>
      <c r="C27" s="2">
        <v>14913</v>
      </c>
      <c r="D27">
        <f>VLOOKUP(表1_[[#This Row],[地区]],Sheet2!A:B,2,0)</f>
        <v>130000</v>
      </c>
      <c r="E27">
        <f>表1_[[#This Row],[年份]]+表1_[[#This Row],[行政区划]]</f>
        <v>132019</v>
      </c>
    </row>
    <row r="28" spans="1:5" x14ac:dyDescent="0.4">
      <c r="A28" t="s">
        <v>2</v>
      </c>
      <c r="B28" t="s">
        <v>40</v>
      </c>
      <c r="C28" s="2">
        <v>20229</v>
      </c>
      <c r="D28">
        <f>VLOOKUP(表1_[[#This Row],[地区]],Sheet2!A:B,2,0)</f>
        <v>130000</v>
      </c>
      <c r="E28">
        <f>表1_[[#This Row],[年份]]+表1_[[#This Row],[行政区划]]</f>
        <v>132020</v>
      </c>
    </row>
    <row r="29" spans="1:5" x14ac:dyDescent="0.4">
      <c r="A29" t="s">
        <v>2</v>
      </c>
      <c r="B29" t="s">
        <v>41</v>
      </c>
      <c r="C29" s="2">
        <v>26766</v>
      </c>
      <c r="D29">
        <f>VLOOKUP(表1_[[#This Row],[地区]],Sheet2!A:B,2,0)</f>
        <v>130000</v>
      </c>
      <c r="E29">
        <f>表1_[[#This Row],[年份]]+表1_[[#This Row],[行政区划]]</f>
        <v>132021</v>
      </c>
    </row>
    <row r="30" spans="1:5" x14ac:dyDescent="0.4">
      <c r="A30" t="s">
        <v>2</v>
      </c>
      <c r="B30" t="s">
        <v>42</v>
      </c>
      <c r="C30" s="2">
        <v>34170</v>
      </c>
      <c r="D30">
        <f>VLOOKUP(表1_[[#This Row],[地区]],Sheet2!A:B,2,0)</f>
        <v>130000</v>
      </c>
      <c r="E30">
        <f>表1_[[#This Row],[年份]]+表1_[[#This Row],[行政区划]]</f>
        <v>132022</v>
      </c>
    </row>
    <row r="31" spans="1:5" x14ac:dyDescent="0.4">
      <c r="A31" t="s">
        <v>2</v>
      </c>
      <c r="B31" t="s">
        <v>43</v>
      </c>
      <c r="C31" s="2">
        <v>39967</v>
      </c>
      <c r="D31">
        <f>VLOOKUP(表1_[[#This Row],[地区]],Sheet2!A:B,2,0)</f>
        <v>130000</v>
      </c>
      <c r="E31">
        <f>表1_[[#This Row],[年份]]+表1_[[#This Row],[行政区划]]</f>
        <v>132023</v>
      </c>
    </row>
    <row r="32" spans="1:5" x14ac:dyDescent="0.4">
      <c r="A32" t="s">
        <v>3</v>
      </c>
      <c r="B32" t="s">
        <v>34</v>
      </c>
      <c r="C32" s="2">
        <v>2426</v>
      </c>
      <c r="D32">
        <f>VLOOKUP(表1_[[#This Row],[地区]],Sheet2!A:B,2,0)</f>
        <v>140000</v>
      </c>
      <c r="E32">
        <f>表1_[[#This Row],[年份]]+表1_[[#This Row],[行政区划]]</f>
        <v>142014</v>
      </c>
    </row>
    <row r="33" spans="1:5" x14ac:dyDescent="0.4">
      <c r="A33" t="s">
        <v>3</v>
      </c>
      <c r="B33" t="s">
        <v>35</v>
      </c>
      <c r="C33" s="2">
        <v>1910</v>
      </c>
      <c r="D33">
        <f>VLOOKUP(表1_[[#This Row],[地区]],Sheet2!A:B,2,0)</f>
        <v>140000</v>
      </c>
      <c r="E33">
        <f>表1_[[#This Row],[年份]]+表1_[[#This Row],[行政区划]]</f>
        <v>142015</v>
      </c>
    </row>
    <row r="34" spans="1:5" x14ac:dyDescent="0.4">
      <c r="A34" t="s">
        <v>3</v>
      </c>
      <c r="B34" t="s">
        <v>36</v>
      </c>
      <c r="C34" s="2">
        <v>2206</v>
      </c>
      <c r="D34">
        <f>VLOOKUP(表1_[[#This Row],[地区]],Sheet2!A:B,2,0)</f>
        <v>140000</v>
      </c>
      <c r="E34">
        <f>表1_[[#This Row],[年份]]+表1_[[#This Row],[行政区划]]</f>
        <v>142016</v>
      </c>
    </row>
    <row r="35" spans="1:5" x14ac:dyDescent="0.4">
      <c r="A35" t="s">
        <v>3</v>
      </c>
      <c r="B35" t="s">
        <v>37</v>
      </c>
      <c r="C35" s="2">
        <v>3119</v>
      </c>
      <c r="D35">
        <f>VLOOKUP(表1_[[#This Row],[地区]],Sheet2!A:B,2,0)</f>
        <v>140000</v>
      </c>
      <c r="E35">
        <f>表1_[[#This Row],[年份]]+表1_[[#This Row],[行政区划]]</f>
        <v>142017</v>
      </c>
    </row>
    <row r="36" spans="1:5" x14ac:dyDescent="0.4">
      <c r="A36" t="s">
        <v>3</v>
      </c>
      <c r="B36" t="s">
        <v>38</v>
      </c>
      <c r="C36" s="2">
        <v>3913</v>
      </c>
      <c r="D36">
        <f>VLOOKUP(表1_[[#This Row],[地区]],Sheet2!A:B,2,0)</f>
        <v>140000</v>
      </c>
      <c r="E36">
        <f>表1_[[#This Row],[年份]]+表1_[[#This Row],[行政区划]]</f>
        <v>142018</v>
      </c>
    </row>
    <row r="37" spans="1:5" x14ac:dyDescent="0.4">
      <c r="A37" t="s">
        <v>3</v>
      </c>
      <c r="B37" t="s">
        <v>39</v>
      </c>
      <c r="C37" s="2">
        <v>4778</v>
      </c>
      <c r="D37">
        <f>VLOOKUP(表1_[[#This Row],[地区]],Sheet2!A:B,2,0)</f>
        <v>140000</v>
      </c>
      <c r="E37">
        <f>表1_[[#This Row],[年份]]+表1_[[#This Row],[行政区划]]</f>
        <v>142019</v>
      </c>
    </row>
    <row r="38" spans="1:5" x14ac:dyDescent="0.4">
      <c r="A38" t="s">
        <v>3</v>
      </c>
      <c r="B38" t="s">
        <v>40</v>
      </c>
      <c r="C38" s="2">
        <v>6539</v>
      </c>
      <c r="D38">
        <f>VLOOKUP(表1_[[#This Row],[地区]],Sheet2!A:B,2,0)</f>
        <v>140000</v>
      </c>
      <c r="E38">
        <f>表1_[[#This Row],[年份]]+表1_[[#This Row],[行政区划]]</f>
        <v>142020</v>
      </c>
    </row>
    <row r="39" spans="1:5" x14ac:dyDescent="0.4">
      <c r="A39" t="s">
        <v>3</v>
      </c>
      <c r="B39" t="s">
        <v>41</v>
      </c>
      <c r="C39" s="2">
        <v>7501</v>
      </c>
      <c r="D39">
        <f>VLOOKUP(表1_[[#This Row],[地区]],Sheet2!A:B,2,0)</f>
        <v>140000</v>
      </c>
      <c r="E39">
        <f>表1_[[#This Row],[年份]]+表1_[[#This Row],[行政区划]]</f>
        <v>142021</v>
      </c>
    </row>
    <row r="40" spans="1:5" x14ac:dyDescent="0.4">
      <c r="A40" t="s">
        <v>3</v>
      </c>
      <c r="B40" t="s">
        <v>42</v>
      </c>
      <c r="C40" s="2">
        <v>7997</v>
      </c>
      <c r="D40">
        <f>VLOOKUP(表1_[[#This Row],[地区]],Sheet2!A:B,2,0)</f>
        <v>140000</v>
      </c>
      <c r="E40">
        <f>表1_[[#This Row],[年份]]+表1_[[#This Row],[行政区划]]</f>
        <v>142022</v>
      </c>
    </row>
    <row r="41" spans="1:5" x14ac:dyDescent="0.4">
      <c r="A41" t="s">
        <v>3</v>
      </c>
      <c r="B41" t="s">
        <v>43</v>
      </c>
      <c r="C41" s="2">
        <v>8629</v>
      </c>
      <c r="D41">
        <f>VLOOKUP(表1_[[#This Row],[地区]],Sheet2!A:B,2,0)</f>
        <v>140000</v>
      </c>
      <c r="E41">
        <f>表1_[[#This Row],[年份]]+表1_[[#This Row],[行政区划]]</f>
        <v>142023</v>
      </c>
    </row>
    <row r="42" spans="1:5" x14ac:dyDescent="0.4">
      <c r="A42" t="s">
        <v>4</v>
      </c>
      <c r="B42" t="s">
        <v>34</v>
      </c>
      <c r="C42" s="2">
        <v>1570</v>
      </c>
      <c r="D42">
        <f>VLOOKUP(表1_[[#This Row],[地区]],Sheet2!A:B,2,0)</f>
        <v>150000</v>
      </c>
      <c r="E42">
        <f>表1_[[#This Row],[年份]]+表1_[[#This Row],[行政区划]]</f>
        <v>152014</v>
      </c>
    </row>
    <row r="43" spans="1:5" x14ac:dyDescent="0.4">
      <c r="A43" t="s">
        <v>4</v>
      </c>
      <c r="B43" t="s">
        <v>35</v>
      </c>
      <c r="C43" s="2">
        <v>1228</v>
      </c>
      <c r="D43">
        <f>VLOOKUP(表1_[[#This Row],[地区]],Sheet2!A:B,2,0)</f>
        <v>150000</v>
      </c>
      <c r="E43">
        <f>表1_[[#This Row],[年份]]+表1_[[#This Row],[行政区划]]</f>
        <v>152015</v>
      </c>
    </row>
    <row r="44" spans="1:5" x14ac:dyDescent="0.4">
      <c r="A44" t="s">
        <v>4</v>
      </c>
      <c r="B44" t="s">
        <v>36</v>
      </c>
      <c r="C44" s="2">
        <v>1509</v>
      </c>
      <c r="D44">
        <f>VLOOKUP(表1_[[#This Row],[地区]],Sheet2!A:B,2,0)</f>
        <v>150000</v>
      </c>
      <c r="E44">
        <f>表1_[[#This Row],[年份]]+表1_[[#This Row],[行政区划]]</f>
        <v>152016</v>
      </c>
    </row>
    <row r="45" spans="1:5" x14ac:dyDescent="0.4">
      <c r="A45" t="s">
        <v>4</v>
      </c>
      <c r="B45" t="s">
        <v>37</v>
      </c>
      <c r="C45" s="2">
        <v>1606</v>
      </c>
      <c r="D45">
        <f>VLOOKUP(表1_[[#This Row],[地区]],Sheet2!A:B,2,0)</f>
        <v>150000</v>
      </c>
      <c r="E45">
        <f>表1_[[#This Row],[年份]]+表1_[[#This Row],[行政区划]]</f>
        <v>152017</v>
      </c>
    </row>
    <row r="46" spans="1:5" x14ac:dyDescent="0.4">
      <c r="A46" t="s">
        <v>4</v>
      </c>
      <c r="B46" t="s">
        <v>38</v>
      </c>
      <c r="C46" s="2">
        <v>1686</v>
      </c>
      <c r="D46">
        <f>VLOOKUP(表1_[[#This Row],[地区]],Sheet2!A:B,2,0)</f>
        <v>150000</v>
      </c>
      <c r="E46">
        <f>表1_[[#This Row],[年份]]+表1_[[#This Row],[行政区划]]</f>
        <v>152018</v>
      </c>
    </row>
    <row r="47" spans="1:5" x14ac:dyDescent="0.4">
      <c r="A47" t="s">
        <v>4</v>
      </c>
      <c r="B47" t="s">
        <v>39</v>
      </c>
      <c r="C47" s="2">
        <v>1996</v>
      </c>
      <c r="D47">
        <f>VLOOKUP(表1_[[#This Row],[地区]],Sheet2!A:B,2,0)</f>
        <v>150000</v>
      </c>
      <c r="E47">
        <f>表1_[[#This Row],[年份]]+表1_[[#This Row],[行政区划]]</f>
        <v>152019</v>
      </c>
    </row>
    <row r="48" spans="1:5" x14ac:dyDescent="0.4">
      <c r="A48" t="s">
        <v>4</v>
      </c>
      <c r="B48" t="s">
        <v>40</v>
      </c>
      <c r="C48" s="2">
        <v>2527</v>
      </c>
      <c r="D48">
        <f>VLOOKUP(表1_[[#This Row],[地区]],Sheet2!A:B,2,0)</f>
        <v>150000</v>
      </c>
      <c r="E48">
        <f>表1_[[#This Row],[年份]]+表1_[[#This Row],[行政区划]]</f>
        <v>152020</v>
      </c>
    </row>
    <row r="49" spans="1:5" x14ac:dyDescent="0.4">
      <c r="A49" t="s">
        <v>4</v>
      </c>
      <c r="B49" t="s">
        <v>41</v>
      </c>
      <c r="C49" s="2">
        <v>3645</v>
      </c>
      <c r="D49">
        <f>VLOOKUP(表1_[[#This Row],[地区]],Sheet2!A:B,2,0)</f>
        <v>150000</v>
      </c>
      <c r="E49">
        <f>表1_[[#This Row],[年份]]+表1_[[#This Row],[行政区划]]</f>
        <v>152021</v>
      </c>
    </row>
    <row r="50" spans="1:5" x14ac:dyDescent="0.4">
      <c r="A50" t="s">
        <v>4</v>
      </c>
      <c r="B50" t="s">
        <v>42</v>
      </c>
      <c r="C50" s="2">
        <v>4920</v>
      </c>
      <c r="D50">
        <f>VLOOKUP(表1_[[#This Row],[地区]],Sheet2!A:B,2,0)</f>
        <v>150000</v>
      </c>
      <c r="E50">
        <f>表1_[[#This Row],[年份]]+表1_[[#This Row],[行政区划]]</f>
        <v>152022</v>
      </c>
    </row>
    <row r="51" spans="1:5" x14ac:dyDescent="0.4">
      <c r="A51" t="s">
        <v>4</v>
      </c>
      <c r="B51" t="s">
        <v>43</v>
      </c>
      <c r="C51" s="2">
        <v>5477</v>
      </c>
      <c r="D51">
        <f>VLOOKUP(表1_[[#This Row],[地区]],Sheet2!A:B,2,0)</f>
        <v>150000</v>
      </c>
      <c r="E51">
        <f>表1_[[#This Row],[年份]]+表1_[[#This Row],[行政区划]]</f>
        <v>152023</v>
      </c>
    </row>
    <row r="52" spans="1:5" x14ac:dyDescent="0.4">
      <c r="A52" t="s">
        <v>5</v>
      </c>
      <c r="B52" t="s">
        <v>34</v>
      </c>
      <c r="C52" s="2">
        <v>8857</v>
      </c>
      <c r="D52">
        <f>VLOOKUP(表1_[[#This Row],[地区]],Sheet2!A:B,2,0)</f>
        <v>210000</v>
      </c>
      <c r="E52">
        <f>表1_[[#This Row],[年份]]+表1_[[#This Row],[行政区划]]</f>
        <v>212014</v>
      </c>
    </row>
    <row r="53" spans="1:5" x14ac:dyDescent="0.4">
      <c r="A53" t="s">
        <v>5</v>
      </c>
      <c r="B53" t="s">
        <v>35</v>
      </c>
      <c r="C53" s="2">
        <v>5494</v>
      </c>
      <c r="D53">
        <f>VLOOKUP(表1_[[#This Row],[地区]],Sheet2!A:B,2,0)</f>
        <v>210000</v>
      </c>
      <c r="E53">
        <f>表1_[[#This Row],[年份]]+表1_[[#This Row],[行政区划]]</f>
        <v>212015</v>
      </c>
    </row>
    <row r="54" spans="1:5" x14ac:dyDescent="0.4">
      <c r="A54" t="s">
        <v>5</v>
      </c>
      <c r="B54" t="s">
        <v>36</v>
      </c>
      <c r="C54" s="2">
        <v>6910</v>
      </c>
      <c r="D54">
        <f>VLOOKUP(表1_[[#This Row],[地区]],Sheet2!A:B,2,0)</f>
        <v>210000</v>
      </c>
      <c r="E54">
        <f>表1_[[#This Row],[年份]]+表1_[[#This Row],[行政区划]]</f>
        <v>212016</v>
      </c>
    </row>
    <row r="55" spans="1:5" x14ac:dyDescent="0.4">
      <c r="A55" t="s">
        <v>5</v>
      </c>
      <c r="B55" t="s">
        <v>37</v>
      </c>
      <c r="C55" s="2">
        <v>8228</v>
      </c>
      <c r="D55">
        <f>VLOOKUP(表1_[[#This Row],[地区]],Sheet2!A:B,2,0)</f>
        <v>210000</v>
      </c>
      <c r="E55">
        <f>表1_[[#This Row],[年份]]+表1_[[#This Row],[行政区划]]</f>
        <v>212017</v>
      </c>
    </row>
    <row r="56" spans="1:5" x14ac:dyDescent="0.4">
      <c r="A56" t="s">
        <v>5</v>
      </c>
      <c r="B56" t="s">
        <v>38</v>
      </c>
      <c r="C56" s="2">
        <v>9876</v>
      </c>
      <c r="D56">
        <f>VLOOKUP(表1_[[#This Row],[地区]],Sheet2!A:B,2,0)</f>
        <v>210000</v>
      </c>
      <c r="E56">
        <f>表1_[[#This Row],[年份]]+表1_[[#This Row],[行政区划]]</f>
        <v>212018</v>
      </c>
    </row>
    <row r="57" spans="1:5" x14ac:dyDescent="0.4">
      <c r="A57" t="s">
        <v>5</v>
      </c>
      <c r="B57" t="s">
        <v>39</v>
      </c>
      <c r="C57" s="2">
        <v>12212</v>
      </c>
      <c r="D57">
        <f>VLOOKUP(表1_[[#This Row],[地区]],Sheet2!A:B,2,0)</f>
        <v>210000</v>
      </c>
      <c r="E57">
        <f>表1_[[#This Row],[年份]]+表1_[[#This Row],[行政区划]]</f>
        <v>212019</v>
      </c>
    </row>
    <row r="58" spans="1:5" x14ac:dyDescent="0.4">
      <c r="A58" t="s">
        <v>5</v>
      </c>
      <c r="B58" t="s">
        <v>40</v>
      </c>
      <c r="C58" s="2">
        <v>14329</v>
      </c>
      <c r="D58">
        <f>VLOOKUP(表1_[[#This Row],[地区]],Sheet2!A:B,2,0)</f>
        <v>210000</v>
      </c>
      <c r="E58">
        <f>表1_[[#This Row],[年份]]+表1_[[#This Row],[行政区划]]</f>
        <v>212020</v>
      </c>
    </row>
    <row r="59" spans="1:5" x14ac:dyDescent="0.4">
      <c r="A59" t="s">
        <v>5</v>
      </c>
      <c r="B59" t="s">
        <v>41</v>
      </c>
      <c r="C59" s="2">
        <v>16131</v>
      </c>
      <c r="D59">
        <f>VLOOKUP(表1_[[#This Row],[地区]],Sheet2!A:B,2,0)</f>
        <v>210000</v>
      </c>
      <c r="E59">
        <f>表1_[[#This Row],[年份]]+表1_[[#This Row],[行政区划]]</f>
        <v>212021</v>
      </c>
    </row>
    <row r="60" spans="1:5" x14ac:dyDescent="0.4">
      <c r="A60" t="s">
        <v>5</v>
      </c>
      <c r="B60" t="s">
        <v>42</v>
      </c>
      <c r="C60" s="2">
        <v>17134</v>
      </c>
      <c r="D60">
        <f>VLOOKUP(表1_[[#This Row],[地区]],Sheet2!A:B,2,0)</f>
        <v>210000</v>
      </c>
      <c r="E60">
        <f>表1_[[#This Row],[年份]]+表1_[[#This Row],[行政区划]]</f>
        <v>212022</v>
      </c>
    </row>
    <row r="61" spans="1:5" x14ac:dyDescent="0.4">
      <c r="A61" t="s">
        <v>5</v>
      </c>
      <c r="B61" t="s">
        <v>43</v>
      </c>
      <c r="C61" s="2">
        <v>17457</v>
      </c>
      <c r="D61">
        <f>VLOOKUP(表1_[[#This Row],[地区]],Sheet2!A:B,2,0)</f>
        <v>210000</v>
      </c>
      <c r="E61">
        <f>表1_[[#This Row],[年份]]+表1_[[#This Row],[行政区划]]</f>
        <v>212023</v>
      </c>
    </row>
    <row r="62" spans="1:5" x14ac:dyDescent="0.4">
      <c r="A62" t="s">
        <v>6</v>
      </c>
      <c r="B62" t="s">
        <v>34</v>
      </c>
      <c r="C62" s="2">
        <v>2356</v>
      </c>
      <c r="D62">
        <f>VLOOKUP(表1_[[#This Row],[地区]],Sheet2!A:B,2,0)</f>
        <v>220000</v>
      </c>
      <c r="E62">
        <f>表1_[[#This Row],[年份]]+表1_[[#This Row],[行政区划]]</f>
        <v>222014</v>
      </c>
    </row>
    <row r="63" spans="1:5" x14ac:dyDescent="0.4">
      <c r="A63" t="s">
        <v>6</v>
      </c>
      <c r="B63" t="s">
        <v>35</v>
      </c>
      <c r="C63" s="2">
        <v>2548</v>
      </c>
      <c r="D63">
        <f>VLOOKUP(表1_[[#This Row],[地区]],Sheet2!A:B,2,0)</f>
        <v>220000</v>
      </c>
      <c r="E63">
        <f>表1_[[#This Row],[年份]]+表1_[[#This Row],[行政区划]]</f>
        <v>222015</v>
      </c>
    </row>
    <row r="64" spans="1:5" x14ac:dyDescent="0.4">
      <c r="A64" t="s">
        <v>6</v>
      </c>
      <c r="B64" t="s">
        <v>36</v>
      </c>
      <c r="C64" s="2">
        <v>2470</v>
      </c>
      <c r="D64">
        <f>VLOOKUP(表1_[[#This Row],[地区]],Sheet2!A:B,2,0)</f>
        <v>220000</v>
      </c>
      <c r="E64">
        <f>表1_[[#This Row],[年份]]+表1_[[#This Row],[行政区划]]</f>
        <v>222016</v>
      </c>
    </row>
    <row r="65" spans="1:5" x14ac:dyDescent="0.4">
      <c r="A65" t="s">
        <v>6</v>
      </c>
      <c r="B65" t="s">
        <v>37</v>
      </c>
      <c r="C65" s="2">
        <v>2791</v>
      </c>
      <c r="D65">
        <f>VLOOKUP(表1_[[#This Row],[地区]],Sheet2!A:B,2,0)</f>
        <v>220000</v>
      </c>
      <c r="E65">
        <f>表1_[[#This Row],[年份]]+表1_[[#This Row],[行政区划]]</f>
        <v>222017</v>
      </c>
    </row>
    <row r="66" spans="1:5" x14ac:dyDescent="0.4">
      <c r="A66" t="s">
        <v>6</v>
      </c>
      <c r="B66" t="s">
        <v>38</v>
      </c>
      <c r="C66" s="2">
        <v>2842</v>
      </c>
      <c r="D66">
        <f>VLOOKUP(表1_[[#This Row],[地区]],Sheet2!A:B,2,0)</f>
        <v>220000</v>
      </c>
      <c r="E66">
        <f>表1_[[#This Row],[年份]]+表1_[[#This Row],[行政区划]]</f>
        <v>222018</v>
      </c>
    </row>
    <row r="67" spans="1:5" x14ac:dyDescent="0.4">
      <c r="A67" t="s">
        <v>6</v>
      </c>
      <c r="B67" t="s">
        <v>39</v>
      </c>
      <c r="C67" s="2">
        <v>3511</v>
      </c>
      <c r="D67">
        <f>VLOOKUP(表1_[[#This Row],[地区]],Sheet2!A:B,2,0)</f>
        <v>220000</v>
      </c>
      <c r="E67">
        <f>表1_[[#This Row],[年份]]+表1_[[#This Row],[行政区划]]</f>
        <v>222019</v>
      </c>
    </row>
    <row r="68" spans="1:5" x14ac:dyDescent="0.4">
      <c r="A68" t="s">
        <v>6</v>
      </c>
      <c r="B68" t="s">
        <v>40</v>
      </c>
      <c r="C68" s="2">
        <v>3741</v>
      </c>
      <c r="D68">
        <f>VLOOKUP(表1_[[#This Row],[地区]],Sheet2!A:B,2,0)</f>
        <v>220000</v>
      </c>
      <c r="E68">
        <f>表1_[[#This Row],[年份]]+表1_[[#This Row],[行政区划]]</f>
        <v>222020</v>
      </c>
    </row>
    <row r="69" spans="1:5" x14ac:dyDescent="0.4">
      <c r="A69" t="s">
        <v>6</v>
      </c>
      <c r="B69" t="s">
        <v>41</v>
      </c>
      <c r="C69" s="2">
        <v>4369</v>
      </c>
      <c r="D69">
        <f>VLOOKUP(表1_[[#This Row],[地区]],Sheet2!A:B,2,0)</f>
        <v>220000</v>
      </c>
      <c r="E69">
        <f>表1_[[#This Row],[年份]]+表1_[[#This Row],[行政区划]]</f>
        <v>222021</v>
      </c>
    </row>
    <row r="70" spans="1:5" x14ac:dyDescent="0.4">
      <c r="A70" t="s">
        <v>6</v>
      </c>
      <c r="B70" t="s">
        <v>42</v>
      </c>
      <c r="C70" s="2">
        <v>5072</v>
      </c>
      <c r="D70">
        <f>VLOOKUP(表1_[[#This Row],[地区]],Sheet2!A:B,2,0)</f>
        <v>220000</v>
      </c>
      <c r="E70">
        <f>表1_[[#This Row],[年份]]+表1_[[#This Row],[行政区划]]</f>
        <v>222022</v>
      </c>
    </row>
    <row r="71" spans="1:5" x14ac:dyDescent="0.4">
      <c r="A71" t="s">
        <v>6</v>
      </c>
      <c r="B71" t="s">
        <v>43</v>
      </c>
      <c r="C71" s="2">
        <v>5287</v>
      </c>
      <c r="D71">
        <f>VLOOKUP(表1_[[#This Row],[地区]],Sheet2!A:B,2,0)</f>
        <v>220000</v>
      </c>
      <c r="E71">
        <f>表1_[[#This Row],[年份]]+表1_[[#This Row],[行政区划]]</f>
        <v>222023</v>
      </c>
    </row>
    <row r="72" spans="1:5" x14ac:dyDescent="0.4">
      <c r="A72" t="s">
        <v>7</v>
      </c>
      <c r="B72" t="s">
        <v>34</v>
      </c>
      <c r="C72" s="2">
        <v>3624</v>
      </c>
      <c r="D72">
        <f>VLOOKUP(表1_[[#This Row],[地区]],Sheet2!A:B,2,0)</f>
        <v>230000</v>
      </c>
      <c r="E72">
        <f>表1_[[#This Row],[年份]]+表1_[[#This Row],[行政区划]]</f>
        <v>232014</v>
      </c>
    </row>
    <row r="73" spans="1:5" x14ac:dyDescent="0.4">
      <c r="A73" t="s">
        <v>7</v>
      </c>
      <c r="B73" t="s">
        <v>35</v>
      </c>
      <c r="C73" s="2">
        <v>2760</v>
      </c>
      <c r="D73">
        <f>VLOOKUP(表1_[[#This Row],[地区]],Sheet2!A:B,2,0)</f>
        <v>230000</v>
      </c>
      <c r="E73">
        <f>表1_[[#This Row],[年份]]+表1_[[#This Row],[行政区划]]</f>
        <v>232015</v>
      </c>
    </row>
    <row r="74" spans="1:5" x14ac:dyDescent="0.4">
      <c r="A74" t="s">
        <v>7</v>
      </c>
      <c r="B74" t="s">
        <v>36</v>
      </c>
      <c r="C74" s="2">
        <v>2677</v>
      </c>
      <c r="D74">
        <f>VLOOKUP(表1_[[#This Row],[地区]],Sheet2!A:B,2,0)</f>
        <v>230000</v>
      </c>
      <c r="E74">
        <f>表1_[[#This Row],[年份]]+表1_[[#This Row],[行政区划]]</f>
        <v>232016</v>
      </c>
    </row>
    <row r="75" spans="1:5" x14ac:dyDescent="0.4">
      <c r="A75" t="s">
        <v>7</v>
      </c>
      <c r="B75" t="s">
        <v>37</v>
      </c>
      <c r="C75" s="2">
        <v>3252</v>
      </c>
      <c r="D75">
        <f>VLOOKUP(表1_[[#This Row],[地区]],Sheet2!A:B,2,0)</f>
        <v>230000</v>
      </c>
      <c r="E75">
        <f>表1_[[#This Row],[年份]]+表1_[[#This Row],[行政区划]]</f>
        <v>232017</v>
      </c>
    </row>
    <row r="76" spans="1:5" x14ac:dyDescent="0.4">
      <c r="A76" t="s">
        <v>7</v>
      </c>
      <c r="B76" t="s">
        <v>38</v>
      </c>
      <c r="C76" s="2">
        <v>3036</v>
      </c>
      <c r="D76">
        <f>VLOOKUP(表1_[[#This Row],[地区]],Sheet2!A:B,2,0)</f>
        <v>230000</v>
      </c>
      <c r="E76">
        <f>表1_[[#This Row],[年份]]+表1_[[#This Row],[行政区划]]</f>
        <v>232018</v>
      </c>
    </row>
    <row r="77" spans="1:5" x14ac:dyDescent="0.4">
      <c r="A77" t="s">
        <v>7</v>
      </c>
      <c r="B77" t="s">
        <v>39</v>
      </c>
      <c r="C77" s="2">
        <v>3658</v>
      </c>
      <c r="D77">
        <f>VLOOKUP(表1_[[#This Row],[地区]],Sheet2!A:B,2,0)</f>
        <v>230000</v>
      </c>
      <c r="E77">
        <f>表1_[[#This Row],[年份]]+表1_[[#This Row],[行政区划]]</f>
        <v>232019</v>
      </c>
    </row>
    <row r="78" spans="1:5" x14ac:dyDescent="0.4">
      <c r="A78" t="s">
        <v>7</v>
      </c>
      <c r="B78" t="s">
        <v>40</v>
      </c>
      <c r="C78" s="2">
        <v>4501</v>
      </c>
      <c r="D78">
        <f>VLOOKUP(表1_[[#This Row],[地区]],Sheet2!A:B,2,0)</f>
        <v>230000</v>
      </c>
      <c r="E78">
        <f>表1_[[#This Row],[年份]]+表1_[[#This Row],[行政区划]]</f>
        <v>232020</v>
      </c>
    </row>
    <row r="79" spans="1:5" x14ac:dyDescent="0.4">
      <c r="A79" t="s">
        <v>7</v>
      </c>
      <c r="B79" t="s">
        <v>41</v>
      </c>
      <c r="C79" s="2">
        <v>6007</v>
      </c>
      <c r="D79">
        <f>VLOOKUP(表1_[[#This Row],[地区]],Sheet2!A:B,2,0)</f>
        <v>230000</v>
      </c>
      <c r="E79">
        <f>表1_[[#This Row],[年份]]+表1_[[#This Row],[行政区划]]</f>
        <v>232021</v>
      </c>
    </row>
    <row r="80" spans="1:5" x14ac:dyDescent="0.4">
      <c r="A80" t="s">
        <v>7</v>
      </c>
      <c r="B80" t="s">
        <v>42</v>
      </c>
      <c r="C80" s="2">
        <v>7505</v>
      </c>
      <c r="D80">
        <f>VLOOKUP(表1_[[#This Row],[地区]],Sheet2!A:B,2,0)</f>
        <v>230000</v>
      </c>
      <c r="E80">
        <f>表1_[[#This Row],[年份]]+表1_[[#This Row],[行政区划]]</f>
        <v>232022</v>
      </c>
    </row>
    <row r="81" spans="1:5" x14ac:dyDescent="0.4">
      <c r="A81" t="s">
        <v>7</v>
      </c>
      <c r="B81" t="s">
        <v>43</v>
      </c>
      <c r="C81" s="2">
        <v>7235</v>
      </c>
      <c r="D81">
        <f>VLOOKUP(表1_[[#This Row],[地区]],Sheet2!A:B,2,0)</f>
        <v>230000</v>
      </c>
      <c r="E81">
        <f>表1_[[#This Row],[年份]]+表1_[[#This Row],[行政区划]]</f>
        <v>232023</v>
      </c>
    </row>
    <row r="82" spans="1:5" x14ac:dyDescent="0.4">
      <c r="A82" t="s">
        <v>8</v>
      </c>
      <c r="B82" t="s">
        <v>34</v>
      </c>
      <c r="C82" s="2">
        <v>18927</v>
      </c>
      <c r="D82">
        <f>VLOOKUP(表1_[[#This Row],[地区]],Sheet2!A:B,2,0)</f>
        <v>310000</v>
      </c>
      <c r="E82">
        <f>表1_[[#This Row],[年份]]+表1_[[#This Row],[行政区划]]</f>
        <v>312014</v>
      </c>
    </row>
    <row r="83" spans="1:5" x14ac:dyDescent="0.4">
      <c r="A83" t="s">
        <v>8</v>
      </c>
      <c r="B83" t="s">
        <v>35</v>
      </c>
      <c r="C83" s="2">
        <v>14378</v>
      </c>
      <c r="D83">
        <f>VLOOKUP(表1_[[#This Row],[地区]],Sheet2!A:B,2,0)</f>
        <v>310000</v>
      </c>
      <c r="E83">
        <f>表1_[[#This Row],[年份]]+表1_[[#This Row],[行政区划]]</f>
        <v>312015</v>
      </c>
    </row>
    <row r="84" spans="1:5" x14ac:dyDescent="0.4">
      <c r="A84" t="s">
        <v>8</v>
      </c>
      <c r="B84" t="s">
        <v>36</v>
      </c>
      <c r="C84" s="2">
        <v>15046</v>
      </c>
      <c r="D84">
        <f>VLOOKUP(表1_[[#This Row],[地区]],Sheet2!A:B,2,0)</f>
        <v>310000</v>
      </c>
      <c r="E84">
        <f>表1_[[#This Row],[年份]]+表1_[[#This Row],[行政区划]]</f>
        <v>312016</v>
      </c>
    </row>
    <row r="85" spans="1:5" x14ac:dyDescent="0.4">
      <c r="A85" t="s">
        <v>8</v>
      </c>
      <c r="B85" t="s">
        <v>37</v>
      </c>
      <c r="C85" s="2">
        <v>16121</v>
      </c>
      <c r="D85">
        <f>VLOOKUP(表1_[[#This Row],[地区]],Sheet2!A:B,2,0)</f>
        <v>310000</v>
      </c>
      <c r="E85">
        <f>表1_[[#This Row],[年份]]+表1_[[#This Row],[行政区划]]</f>
        <v>312017</v>
      </c>
    </row>
    <row r="86" spans="1:5" x14ac:dyDescent="0.4">
      <c r="A86" t="s">
        <v>8</v>
      </c>
      <c r="B86" t="s">
        <v>38</v>
      </c>
      <c r="C86" s="2">
        <v>18259</v>
      </c>
      <c r="D86">
        <f>VLOOKUP(表1_[[#This Row],[地区]],Sheet2!A:B,2,0)</f>
        <v>310000</v>
      </c>
      <c r="E86">
        <f>表1_[[#This Row],[年份]]+表1_[[#This Row],[行政区划]]</f>
        <v>312018</v>
      </c>
    </row>
    <row r="87" spans="1:5" x14ac:dyDescent="0.4">
      <c r="A87" t="s">
        <v>8</v>
      </c>
      <c r="B87" t="s">
        <v>39</v>
      </c>
      <c r="C87" s="2">
        <v>20836</v>
      </c>
      <c r="D87">
        <f>VLOOKUP(表1_[[#This Row],[地区]],Sheet2!A:B,2,0)</f>
        <v>310000</v>
      </c>
      <c r="E87">
        <f>表1_[[#This Row],[年份]]+表1_[[#This Row],[行政区划]]</f>
        <v>312019</v>
      </c>
    </row>
    <row r="88" spans="1:5" x14ac:dyDescent="0.4">
      <c r="A88" t="s">
        <v>8</v>
      </c>
      <c r="B88" t="s">
        <v>40</v>
      </c>
      <c r="C88" s="2">
        <v>22755</v>
      </c>
      <c r="D88">
        <f>VLOOKUP(表1_[[#This Row],[地区]],Sheet2!A:B,2,0)</f>
        <v>310000</v>
      </c>
      <c r="E88">
        <f>表1_[[#This Row],[年份]]+表1_[[#This Row],[行政区划]]</f>
        <v>312020</v>
      </c>
    </row>
    <row r="89" spans="1:5" x14ac:dyDescent="0.4">
      <c r="A89" t="s">
        <v>8</v>
      </c>
      <c r="B89" t="s">
        <v>41</v>
      </c>
      <c r="C89" s="2">
        <v>24859</v>
      </c>
      <c r="D89">
        <f>VLOOKUP(表1_[[#This Row],[地区]],Sheet2!A:B,2,0)</f>
        <v>310000</v>
      </c>
      <c r="E89">
        <f>表1_[[#This Row],[年份]]+表1_[[#This Row],[行政区划]]</f>
        <v>312021</v>
      </c>
    </row>
    <row r="90" spans="1:5" x14ac:dyDescent="0.4">
      <c r="A90" t="s">
        <v>8</v>
      </c>
      <c r="B90" t="s">
        <v>42</v>
      </c>
      <c r="C90" s="2">
        <v>27316</v>
      </c>
      <c r="D90">
        <f>VLOOKUP(表1_[[#This Row],[地区]],Sheet2!A:B,2,0)</f>
        <v>310000</v>
      </c>
      <c r="E90">
        <f>表1_[[#This Row],[年份]]+表1_[[#This Row],[行政区划]]</f>
        <v>312022</v>
      </c>
    </row>
    <row r="91" spans="1:5" x14ac:dyDescent="0.4">
      <c r="A91" t="s">
        <v>8</v>
      </c>
      <c r="B91" t="s">
        <v>43</v>
      </c>
      <c r="C91" s="2">
        <v>29520</v>
      </c>
      <c r="D91">
        <f>VLOOKUP(表1_[[#This Row],[地区]],Sheet2!A:B,2,0)</f>
        <v>310000</v>
      </c>
      <c r="E91">
        <f>表1_[[#This Row],[年份]]+表1_[[#This Row],[行政区划]]</f>
        <v>312023</v>
      </c>
    </row>
    <row r="92" spans="1:5" x14ac:dyDescent="0.4">
      <c r="A92" t="s">
        <v>9</v>
      </c>
      <c r="B92" t="s">
        <v>34</v>
      </c>
      <c r="C92" s="2">
        <v>62306</v>
      </c>
      <c r="D92">
        <f>VLOOKUP(表1_[[#This Row],[地区]],Sheet2!A:B,2,0)</f>
        <v>320000</v>
      </c>
      <c r="E92">
        <f>表1_[[#This Row],[年份]]+表1_[[#This Row],[行政区划]]</f>
        <v>322014</v>
      </c>
    </row>
    <row r="93" spans="1:5" x14ac:dyDescent="0.4">
      <c r="A93" t="s">
        <v>9</v>
      </c>
      <c r="B93" t="s">
        <v>35</v>
      </c>
      <c r="C93" s="2">
        <v>57204</v>
      </c>
      <c r="D93">
        <f>VLOOKUP(表1_[[#This Row],[地区]],Sheet2!A:B,2,0)</f>
        <v>320000</v>
      </c>
      <c r="E93">
        <f>表1_[[#This Row],[年份]]+表1_[[#This Row],[行政区划]]</f>
        <v>322015</v>
      </c>
    </row>
    <row r="94" spans="1:5" x14ac:dyDescent="0.4">
      <c r="A94" t="s">
        <v>9</v>
      </c>
      <c r="B94" t="s">
        <v>36</v>
      </c>
      <c r="C94" s="2">
        <v>64029</v>
      </c>
      <c r="D94">
        <f>VLOOKUP(表1_[[#This Row],[地区]],Sheet2!A:B,2,0)</f>
        <v>320000</v>
      </c>
      <c r="E94">
        <f>表1_[[#This Row],[年份]]+表1_[[#This Row],[行政区划]]</f>
        <v>322016</v>
      </c>
    </row>
    <row r="95" spans="1:5" x14ac:dyDescent="0.4">
      <c r="A95" t="s">
        <v>9</v>
      </c>
      <c r="B95" t="s">
        <v>37</v>
      </c>
      <c r="C95" s="2">
        <v>69653</v>
      </c>
      <c r="D95">
        <f>VLOOKUP(表1_[[#This Row],[地区]],Sheet2!A:B,2,0)</f>
        <v>320000</v>
      </c>
      <c r="E95">
        <f>表1_[[#This Row],[年份]]+表1_[[#This Row],[行政区划]]</f>
        <v>322017</v>
      </c>
    </row>
    <row r="96" spans="1:5" x14ac:dyDescent="0.4">
      <c r="A96" t="s">
        <v>9</v>
      </c>
      <c r="B96" t="s">
        <v>38</v>
      </c>
      <c r="C96" s="2">
        <v>80921</v>
      </c>
      <c r="D96">
        <f>VLOOKUP(表1_[[#This Row],[地区]],Sheet2!A:B,2,0)</f>
        <v>320000</v>
      </c>
      <c r="E96">
        <f>表1_[[#This Row],[年份]]+表1_[[#This Row],[行政区划]]</f>
        <v>322018</v>
      </c>
    </row>
    <row r="97" spans="1:5" x14ac:dyDescent="0.4">
      <c r="A97" t="s">
        <v>9</v>
      </c>
      <c r="B97" t="s">
        <v>39</v>
      </c>
      <c r="C97" s="2">
        <v>95797</v>
      </c>
      <c r="D97">
        <f>VLOOKUP(表1_[[#This Row],[地区]],Sheet2!A:B,2,0)</f>
        <v>320000</v>
      </c>
      <c r="E97">
        <f>表1_[[#This Row],[年份]]+表1_[[#This Row],[行政区划]]</f>
        <v>322019</v>
      </c>
    </row>
    <row r="98" spans="1:5" x14ac:dyDescent="0.4">
      <c r="A98" t="s">
        <v>9</v>
      </c>
      <c r="B98" t="s">
        <v>40</v>
      </c>
      <c r="C98" s="2">
        <v>102826</v>
      </c>
      <c r="D98">
        <f>VLOOKUP(表1_[[#This Row],[地区]],Sheet2!A:B,2,0)</f>
        <v>320000</v>
      </c>
      <c r="E98">
        <f>表1_[[#This Row],[年份]]+表1_[[#This Row],[行政区划]]</f>
        <v>322020</v>
      </c>
    </row>
    <row r="99" spans="1:5" x14ac:dyDescent="0.4">
      <c r="A99" t="s">
        <v>9</v>
      </c>
      <c r="B99" t="s">
        <v>41</v>
      </c>
      <c r="C99" s="2">
        <v>116152</v>
      </c>
      <c r="D99">
        <f>VLOOKUP(表1_[[#This Row],[地区]],Sheet2!A:B,2,0)</f>
        <v>320000</v>
      </c>
      <c r="E99">
        <f>表1_[[#This Row],[年份]]+表1_[[#This Row],[行政区划]]</f>
        <v>322021</v>
      </c>
    </row>
    <row r="100" spans="1:5" x14ac:dyDescent="0.4">
      <c r="A100" t="s">
        <v>9</v>
      </c>
      <c r="B100" t="s">
        <v>42</v>
      </c>
      <c r="C100" s="2">
        <v>131118</v>
      </c>
      <c r="D100">
        <f>VLOOKUP(表1_[[#This Row],[地区]],Sheet2!A:B,2,0)</f>
        <v>320000</v>
      </c>
      <c r="E100">
        <f>表1_[[#This Row],[年份]]+表1_[[#This Row],[行政区划]]</f>
        <v>322022</v>
      </c>
    </row>
    <row r="101" spans="1:5" x14ac:dyDescent="0.4">
      <c r="A101" t="s">
        <v>9</v>
      </c>
      <c r="B101" t="s">
        <v>43</v>
      </c>
      <c r="C101" s="2">
        <v>141304</v>
      </c>
      <c r="D101">
        <f>VLOOKUP(表1_[[#This Row],[地区]],Sheet2!A:B,2,0)</f>
        <v>320000</v>
      </c>
      <c r="E101">
        <f>表1_[[#This Row],[年份]]+表1_[[#This Row],[行政区划]]</f>
        <v>322023</v>
      </c>
    </row>
    <row r="102" spans="1:5" x14ac:dyDescent="0.4">
      <c r="A102" t="s">
        <v>10</v>
      </c>
      <c r="B102" t="s">
        <v>34</v>
      </c>
      <c r="C102" s="2">
        <v>51466</v>
      </c>
      <c r="D102">
        <f>VLOOKUP(表1_[[#This Row],[地区]],Sheet2!A:B,2,0)</f>
        <v>330000</v>
      </c>
      <c r="E102">
        <f>表1_[[#This Row],[年份]]+表1_[[#This Row],[行政区划]]</f>
        <v>332014</v>
      </c>
    </row>
    <row r="103" spans="1:5" x14ac:dyDescent="0.4">
      <c r="A103" t="s">
        <v>10</v>
      </c>
      <c r="B103" t="s">
        <v>35</v>
      </c>
      <c r="C103" s="2">
        <v>55123</v>
      </c>
      <c r="D103">
        <f>VLOOKUP(表1_[[#This Row],[地区]],Sheet2!A:B,2,0)</f>
        <v>330000</v>
      </c>
      <c r="E103">
        <f>表1_[[#This Row],[年份]]+表1_[[#This Row],[行政区划]]</f>
        <v>332015</v>
      </c>
    </row>
    <row r="104" spans="1:5" x14ac:dyDescent="0.4">
      <c r="A104" t="s">
        <v>10</v>
      </c>
      <c r="B104" t="s">
        <v>36</v>
      </c>
      <c r="C104" s="2">
        <v>63124</v>
      </c>
      <c r="D104">
        <f>VLOOKUP(表1_[[#This Row],[地区]],Sheet2!A:B,2,0)</f>
        <v>330000</v>
      </c>
      <c r="E104">
        <f>表1_[[#This Row],[年份]]+表1_[[#This Row],[行政区划]]</f>
        <v>332016</v>
      </c>
    </row>
    <row r="105" spans="1:5" x14ac:dyDescent="0.4">
      <c r="A105" t="s">
        <v>10</v>
      </c>
      <c r="B105" t="s">
        <v>37</v>
      </c>
      <c r="C105" s="2">
        <v>72083</v>
      </c>
      <c r="D105">
        <f>VLOOKUP(表1_[[#This Row],[地区]],Sheet2!A:B,2,0)</f>
        <v>330000</v>
      </c>
      <c r="E105">
        <f>表1_[[#This Row],[年份]]+表1_[[#This Row],[行政区划]]</f>
        <v>332017</v>
      </c>
    </row>
    <row r="106" spans="1:5" x14ac:dyDescent="0.4">
      <c r="A106" t="s">
        <v>10</v>
      </c>
      <c r="B106" t="s">
        <v>38</v>
      </c>
      <c r="C106" s="2">
        <v>87445</v>
      </c>
      <c r="D106">
        <f>VLOOKUP(表1_[[#This Row],[地区]],Sheet2!A:B,2,0)</f>
        <v>330000</v>
      </c>
      <c r="E106">
        <f>表1_[[#This Row],[年份]]+表1_[[#This Row],[行政区划]]</f>
        <v>332018</v>
      </c>
    </row>
    <row r="107" spans="1:5" x14ac:dyDescent="0.4">
      <c r="A107" t="s">
        <v>10</v>
      </c>
      <c r="B107" t="s">
        <v>39</v>
      </c>
      <c r="C107" s="2">
        <v>110063</v>
      </c>
      <c r="D107">
        <f>VLOOKUP(表1_[[#This Row],[地区]],Sheet2!A:B,2,0)</f>
        <v>330000</v>
      </c>
      <c r="E107">
        <f>表1_[[#This Row],[年份]]+表1_[[#This Row],[行政区划]]</f>
        <v>332019</v>
      </c>
    </row>
    <row r="108" spans="1:5" x14ac:dyDescent="0.4">
      <c r="A108" t="s">
        <v>10</v>
      </c>
      <c r="B108" t="s">
        <v>40</v>
      </c>
      <c r="C108" s="2">
        <v>133346</v>
      </c>
      <c r="D108">
        <f>VLOOKUP(表1_[[#This Row],[地区]],Sheet2!A:B,2,0)</f>
        <v>330000</v>
      </c>
      <c r="E108">
        <f>表1_[[#This Row],[年份]]+表1_[[#This Row],[行政区划]]</f>
        <v>332020</v>
      </c>
    </row>
    <row r="109" spans="1:5" x14ac:dyDescent="0.4">
      <c r="A109" t="s">
        <v>10</v>
      </c>
      <c r="B109" t="s">
        <v>41</v>
      </c>
      <c r="C109" s="2">
        <v>164007</v>
      </c>
      <c r="D109">
        <f>VLOOKUP(表1_[[#This Row],[地区]],Sheet2!A:B,2,0)</f>
        <v>330000</v>
      </c>
      <c r="E109">
        <f>表1_[[#This Row],[年份]]+表1_[[#This Row],[行政区划]]</f>
        <v>332021</v>
      </c>
    </row>
    <row r="110" spans="1:5" x14ac:dyDescent="0.4">
      <c r="A110" t="s">
        <v>10</v>
      </c>
      <c r="B110" t="s">
        <v>42</v>
      </c>
      <c r="C110" s="2">
        <v>188833</v>
      </c>
      <c r="D110">
        <f>VLOOKUP(表1_[[#This Row],[地区]],Sheet2!A:B,2,0)</f>
        <v>330000</v>
      </c>
      <c r="E110">
        <f>表1_[[#This Row],[年份]]+表1_[[#This Row],[行政区划]]</f>
        <v>332022</v>
      </c>
    </row>
    <row r="111" spans="1:5" x14ac:dyDescent="0.4">
      <c r="A111" t="s">
        <v>10</v>
      </c>
      <c r="B111" t="s">
        <v>43</v>
      </c>
      <c r="C111" s="2">
        <v>207990</v>
      </c>
      <c r="D111">
        <f>VLOOKUP(表1_[[#This Row],[地区]],Sheet2!A:B,2,0)</f>
        <v>330000</v>
      </c>
      <c r="E111">
        <f>表1_[[#This Row],[年份]]+表1_[[#This Row],[行政区划]]</f>
        <v>332023</v>
      </c>
    </row>
    <row r="112" spans="1:5" x14ac:dyDescent="0.4">
      <c r="A112" t="s">
        <v>11</v>
      </c>
      <c r="B112" t="s">
        <v>34</v>
      </c>
      <c r="C112" s="2">
        <v>18185</v>
      </c>
      <c r="D112">
        <f>VLOOKUP(表1_[[#This Row],[地区]],Sheet2!A:B,2,0)</f>
        <v>340000</v>
      </c>
      <c r="E112">
        <f>表1_[[#This Row],[年份]]+表1_[[#This Row],[行政区划]]</f>
        <v>342014</v>
      </c>
    </row>
    <row r="113" spans="1:5" x14ac:dyDescent="0.4">
      <c r="A113" t="s">
        <v>11</v>
      </c>
      <c r="B113" t="s">
        <v>35</v>
      </c>
      <c r="C113" s="2">
        <v>17025</v>
      </c>
      <c r="D113">
        <f>VLOOKUP(表1_[[#This Row],[地区]],Sheet2!A:B,2,0)</f>
        <v>340000</v>
      </c>
      <c r="E113">
        <f>表1_[[#This Row],[年份]]+表1_[[#This Row],[行政区划]]</f>
        <v>342015</v>
      </c>
    </row>
    <row r="114" spans="1:5" x14ac:dyDescent="0.4">
      <c r="A114" t="s">
        <v>11</v>
      </c>
      <c r="B114" t="s">
        <v>36</v>
      </c>
      <c r="C114" s="2">
        <v>19920</v>
      </c>
      <c r="D114">
        <f>VLOOKUP(表1_[[#This Row],[地区]],Sheet2!A:B,2,0)</f>
        <v>340000</v>
      </c>
      <c r="E114">
        <f>表1_[[#This Row],[年份]]+表1_[[#This Row],[行政区划]]</f>
        <v>342016</v>
      </c>
    </row>
    <row r="115" spans="1:5" x14ac:dyDescent="0.4">
      <c r="A115" t="s">
        <v>11</v>
      </c>
      <c r="B115" t="s">
        <v>37</v>
      </c>
      <c r="C115" s="2">
        <v>22904</v>
      </c>
      <c r="D115">
        <f>VLOOKUP(表1_[[#This Row],[地区]],Sheet2!A:B,2,0)</f>
        <v>340000</v>
      </c>
      <c r="E115">
        <f>表1_[[#This Row],[年份]]+表1_[[#This Row],[行政区划]]</f>
        <v>342017</v>
      </c>
    </row>
    <row r="116" spans="1:5" x14ac:dyDescent="0.4">
      <c r="A116" t="s">
        <v>11</v>
      </c>
      <c r="B116" t="s">
        <v>38</v>
      </c>
      <c r="C116" s="2">
        <v>25728</v>
      </c>
      <c r="D116">
        <f>VLOOKUP(表1_[[#This Row],[地区]],Sheet2!A:B,2,0)</f>
        <v>340000</v>
      </c>
      <c r="E116">
        <f>表1_[[#This Row],[年份]]+表1_[[#This Row],[行政区划]]</f>
        <v>342018</v>
      </c>
    </row>
    <row r="117" spans="1:5" x14ac:dyDescent="0.4">
      <c r="A117" t="s">
        <v>11</v>
      </c>
      <c r="B117" t="s">
        <v>39</v>
      </c>
      <c r="C117" s="2">
        <v>27734</v>
      </c>
      <c r="D117">
        <f>VLOOKUP(表1_[[#This Row],[地区]],Sheet2!A:B,2,0)</f>
        <v>340000</v>
      </c>
      <c r="E117">
        <f>表1_[[#This Row],[年份]]+表1_[[#This Row],[行政区划]]</f>
        <v>342019</v>
      </c>
    </row>
    <row r="118" spans="1:5" x14ac:dyDescent="0.4">
      <c r="A118" t="s">
        <v>11</v>
      </c>
      <c r="B118" t="s">
        <v>40</v>
      </c>
      <c r="C118" s="2">
        <v>32863</v>
      </c>
      <c r="D118">
        <f>VLOOKUP(表1_[[#This Row],[地区]],Sheet2!A:B,2,0)</f>
        <v>340000</v>
      </c>
      <c r="E118">
        <f>表1_[[#This Row],[年份]]+表1_[[#This Row],[行政区划]]</f>
        <v>342020</v>
      </c>
    </row>
    <row r="119" spans="1:5" x14ac:dyDescent="0.4">
      <c r="A119" t="s">
        <v>11</v>
      </c>
      <c r="B119" t="s">
        <v>41</v>
      </c>
      <c r="C119" s="2">
        <v>36917</v>
      </c>
      <c r="D119">
        <f>VLOOKUP(表1_[[#This Row],[地区]],Sheet2!A:B,2,0)</f>
        <v>340000</v>
      </c>
      <c r="E119">
        <f>表1_[[#This Row],[年份]]+表1_[[#This Row],[行政区划]]</f>
        <v>342021</v>
      </c>
    </row>
    <row r="120" spans="1:5" x14ac:dyDescent="0.4">
      <c r="A120" t="s">
        <v>11</v>
      </c>
      <c r="B120" t="s">
        <v>42</v>
      </c>
      <c r="C120" s="2">
        <v>42535</v>
      </c>
      <c r="D120">
        <f>VLOOKUP(表1_[[#This Row],[地区]],Sheet2!A:B,2,0)</f>
        <v>340000</v>
      </c>
      <c r="E120">
        <f>表1_[[#This Row],[年份]]+表1_[[#This Row],[行政区划]]</f>
        <v>342022</v>
      </c>
    </row>
    <row r="121" spans="1:5" x14ac:dyDescent="0.4">
      <c r="A121" t="s">
        <v>11</v>
      </c>
      <c r="B121" t="s">
        <v>43</v>
      </c>
      <c r="C121" s="2">
        <v>45238</v>
      </c>
      <c r="D121">
        <f>VLOOKUP(表1_[[#This Row],[地区]],Sheet2!A:B,2,0)</f>
        <v>340000</v>
      </c>
      <c r="E121">
        <f>表1_[[#This Row],[年份]]+表1_[[#This Row],[行政区划]]</f>
        <v>342023</v>
      </c>
    </row>
    <row r="122" spans="1:5" x14ac:dyDescent="0.4">
      <c r="A122" t="s">
        <v>12</v>
      </c>
      <c r="B122" t="s">
        <v>34</v>
      </c>
      <c r="C122" s="2">
        <v>10736</v>
      </c>
      <c r="D122">
        <f>VLOOKUP(表1_[[#This Row],[地区]],Sheet2!A:B,2,0)</f>
        <v>350000</v>
      </c>
      <c r="E122">
        <f>表1_[[#This Row],[年份]]+表1_[[#This Row],[行政区划]]</f>
        <v>352014</v>
      </c>
    </row>
    <row r="123" spans="1:5" x14ac:dyDescent="0.4">
      <c r="A123" t="s">
        <v>12</v>
      </c>
      <c r="B123" t="s">
        <v>35</v>
      </c>
      <c r="C123" s="2">
        <v>9737</v>
      </c>
      <c r="D123">
        <f>VLOOKUP(表1_[[#This Row],[地区]],Sheet2!A:B,2,0)</f>
        <v>350000</v>
      </c>
      <c r="E123">
        <f>表1_[[#This Row],[年份]]+表1_[[#This Row],[行政区划]]</f>
        <v>352015</v>
      </c>
    </row>
    <row r="124" spans="1:5" x14ac:dyDescent="0.4">
      <c r="A124" t="s">
        <v>12</v>
      </c>
      <c r="B124" t="s">
        <v>36</v>
      </c>
      <c r="C124" s="2">
        <v>11833</v>
      </c>
      <c r="D124">
        <f>VLOOKUP(表1_[[#This Row],[地区]],Sheet2!A:B,2,0)</f>
        <v>350000</v>
      </c>
      <c r="E124">
        <f>表1_[[#This Row],[年份]]+表1_[[#This Row],[行政区划]]</f>
        <v>352016</v>
      </c>
    </row>
    <row r="125" spans="1:5" x14ac:dyDescent="0.4">
      <c r="A125" t="s">
        <v>12</v>
      </c>
      <c r="B125" t="s">
        <v>37</v>
      </c>
      <c r="C125" s="2">
        <v>14971</v>
      </c>
      <c r="D125">
        <f>VLOOKUP(表1_[[#This Row],[地区]],Sheet2!A:B,2,0)</f>
        <v>350000</v>
      </c>
      <c r="E125">
        <f>表1_[[#This Row],[年份]]+表1_[[#This Row],[行政区划]]</f>
        <v>352017</v>
      </c>
    </row>
    <row r="126" spans="1:5" x14ac:dyDescent="0.4">
      <c r="A126" t="s">
        <v>12</v>
      </c>
      <c r="B126" t="s">
        <v>38</v>
      </c>
      <c r="C126" s="2">
        <v>18067</v>
      </c>
      <c r="D126">
        <f>VLOOKUP(表1_[[#This Row],[地区]],Sheet2!A:B,2,0)</f>
        <v>350000</v>
      </c>
      <c r="E126">
        <f>表1_[[#This Row],[年份]]+表1_[[#This Row],[行政区划]]</f>
        <v>352018</v>
      </c>
    </row>
    <row r="127" spans="1:5" x14ac:dyDescent="0.4">
      <c r="A127" t="s">
        <v>12</v>
      </c>
      <c r="B127" t="s">
        <v>39</v>
      </c>
      <c r="C127" s="2">
        <v>22275</v>
      </c>
      <c r="D127">
        <f>VLOOKUP(表1_[[#This Row],[地区]],Sheet2!A:B,2,0)</f>
        <v>350000</v>
      </c>
      <c r="E127">
        <f>表1_[[#This Row],[年份]]+表1_[[#This Row],[行政区划]]</f>
        <v>352019</v>
      </c>
    </row>
    <row r="128" spans="1:5" x14ac:dyDescent="0.4">
      <c r="A128" t="s">
        <v>12</v>
      </c>
      <c r="B128" t="s">
        <v>40</v>
      </c>
      <c r="C128" s="2">
        <v>27029</v>
      </c>
      <c r="D128">
        <f>VLOOKUP(表1_[[#This Row],[地区]],Sheet2!A:B,2,0)</f>
        <v>350000</v>
      </c>
      <c r="E128">
        <f>表1_[[#This Row],[年份]]+表1_[[#This Row],[行政区划]]</f>
        <v>352020</v>
      </c>
    </row>
    <row r="129" spans="1:5" x14ac:dyDescent="0.4">
      <c r="A129" t="s">
        <v>12</v>
      </c>
      <c r="B129" t="s">
        <v>41</v>
      </c>
      <c r="C129" s="2">
        <v>31534</v>
      </c>
      <c r="D129">
        <f>VLOOKUP(表1_[[#This Row],[地区]],Sheet2!A:B,2,0)</f>
        <v>350000</v>
      </c>
      <c r="E129">
        <f>表1_[[#This Row],[年份]]+表1_[[#This Row],[行政区划]]</f>
        <v>352021</v>
      </c>
    </row>
    <row r="130" spans="1:5" x14ac:dyDescent="0.4">
      <c r="A130" t="s">
        <v>12</v>
      </c>
      <c r="B130" t="s">
        <v>42</v>
      </c>
      <c r="C130" s="2">
        <v>35707</v>
      </c>
      <c r="D130">
        <f>VLOOKUP(表1_[[#This Row],[地区]],Sheet2!A:B,2,0)</f>
        <v>350000</v>
      </c>
      <c r="E130">
        <f>表1_[[#This Row],[年份]]+表1_[[#This Row],[行政区划]]</f>
        <v>352022</v>
      </c>
    </row>
    <row r="131" spans="1:5" x14ac:dyDescent="0.4">
      <c r="A131" t="s">
        <v>12</v>
      </c>
      <c r="B131" t="s">
        <v>43</v>
      </c>
      <c r="C131" s="2">
        <v>35207</v>
      </c>
      <c r="D131">
        <f>VLOOKUP(表1_[[#This Row],[地区]],Sheet2!A:B,2,0)</f>
        <v>350000</v>
      </c>
      <c r="E131">
        <f>表1_[[#This Row],[年份]]+表1_[[#This Row],[行政区划]]</f>
        <v>352023</v>
      </c>
    </row>
    <row r="132" spans="1:5" x14ac:dyDescent="0.4">
      <c r="A132" t="s">
        <v>13</v>
      </c>
      <c r="B132" t="s">
        <v>34</v>
      </c>
      <c r="C132" s="2">
        <v>5139</v>
      </c>
      <c r="D132">
        <f>VLOOKUP(表1_[[#This Row],[地区]],Sheet2!A:B,2,0)</f>
        <v>360000</v>
      </c>
      <c r="E132">
        <f>表1_[[#This Row],[年份]]+表1_[[#This Row],[行政区划]]</f>
        <v>362014</v>
      </c>
    </row>
    <row r="133" spans="1:5" x14ac:dyDescent="0.4">
      <c r="A133" t="s">
        <v>13</v>
      </c>
      <c r="B133" t="s">
        <v>35</v>
      </c>
      <c r="C133" s="2">
        <v>4635</v>
      </c>
      <c r="D133">
        <f>VLOOKUP(表1_[[#This Row],[地区]],Sheet2!A:B,2,0)</f>
        <v>360000</v>
      </c>
      <c r="E133">
        <f>表1_[[#This Row],[年份]]+表1_[[#This Row],[行政区划]]</f>
        <v>362015</v>
      </c>
    </row>
    <row r="134" spans="1:5" x14ac:dyDescent="0.4">
      <c r="A134" t="s">
        <v>13</v>
      </c>
      <c r="B134" t="s">
        <v>36</v>
      </c>
      <c r="C134" s="2">
        <v>8371</v>
      </c>
      <c r="D134">
        <f>VLOOKUP(表1_[[#This Row],[地区]],Sheet2!A:B,2,0)</f>
        <v>360000</v>
      </c>
      <c r="E134">
        <f>表1_[[#This Row],[年份]]+表1_[[#This Row],[行政区划]]</f>
        <v>362016</v>
      </c>
    </row>
    <row r="135" spans="1:5" x14ac:dyDescent="0.4">
      <c r="A135" t="s">
        <v>13</v>
      </c>
      <c r="B135" t="s">
        <v>37</v>
      </c>
      <c r="C135" s="2">
        <v>11689</v>
      </c>
      <c r="D135">
        <f>VLOOKUP(表1_[[#This Row],[地区]],Sheet2!A:B,2,0)</f>
        <v>360000</v>
      </c>
      <c r="E135">
        <f>表1_[[#This Row],[年份]]+表1_[[#This Row],[行政区划]]</f>
        <v>362017</v>
      </c>
    </row>
    <row r="136" spans="1:5" x14ac:dyDescent="0.4">
      <c r="A136" t="s">
        <v>13</v>
      </c>
      <c r="B136" t="s">
        <v>38</v>
      </c>
      <c r="C136" s="2">
        <v>15614</v>
      </c>
      <c r="D136">
        <f>VLOOKUP(表1_[[#This Row],[地区]],Sheet2!A:B,2,0)</f>
        <v>360000</v>
      </c>
      <c r="E136">
        <f>表1_[[#This Row],[年份]]+表1_[[#This Row],[行政区划]]</f>
        <v>362018</v>
      </c>
    </row>
    <row r="137" spans="1:5" x14ac:dyDescent="0.4">
      <c r="A137" t="s">
        <v>13</v>
      </c>
      <c r="B137" t="s">
        <v>39</v>
      </c>
      <c r="C137" s="2">
        <v>20589</v>
      </c>
      <c r="D137">
        <f>VLOOKUP(表1_[[#This Row],[地区]],Sheet2!A:B,2,0)</f>
        <v>360000</v>
      </c>
      <c r="E137">
        <f>表1_[[#This Row],[年份]]+表1_[[#This Row],[行政区划]]</f>
        <v>362019</v>
      </c>
    </row>
    <row r="138" spans="1:5" x14ac:dyDescent="0.4">
      <c r="A138" t="s">
        <v>13</v>
      </c>
      <c r="B138" t="s">
        <v>40</v>
      </c>
      <c r="C138" s="2">
        <v>23138</v>
      </c>
      <c r="D138">
        <f>VLOOKUP(表1_[[#This Row],[地区]],Sheet2!A:B,2,0)</f>
        <v>360000</v>
      </c>
      <c r="E138">
        <f>表1_[[#This Row],[年份]]+表1_[[#This Row],[行政区划]]</f>
        <v>362020</v>
      </c>
    </row>
    <row r="139" spans="1:5" x14ac:dyDescent="0.4">
      <c r="A139" t="s">
        <v>13</v>
      </c>
      <c r="B139" t="s">
        <v>41</v>
      </c>
      <c r="C139" s="2">
        <v>29613</v>
      </c>
      <c r="D139">
        <f>VLOOKUP(表1_[[#This Row],[地区]],Sheet2!A:B,2,0)</f>
        <v>360000</v>
      </c>
      <c r="E139">
        <f>表1_[[#This Row],[年份]]+表1_[[#This Row],[行政区划]]</f>
        <v>362021</v>
      </c>
    </row>
    <row r="140" spans="1:5" x14ac:dyDescent="0.4">
      <c r="A140" t="s">
        <v>13</v>
      </c>
      <c r="B140" t="s">
        <v>42</v>
      </c>
      <c r="C140" s="2">
        <v>32823</v>
      </c>
      <c r="D140">
        <f>VLOOKUP(表1_[[#This Row],[地区]],Sheet2!A:B,2,0)</f>
        <v>360000</v>
      </c>
      <c r="E140">
        <f>表1_[[#This Row],[年份]]+表1_[[#This Row],[行政区划]]</f>
        <v>362022</v>
      </c>
    </row>
    <row r="141" spans="1:5" x14ac:dyDescent="0.4">
      <c r="A141" t="s">
        <v>13</v>
      </c>
      <c r="B141" t="s">
        <v>43</v>
      </c>
      <c r="C141" s="2">
        <v>38801</v>
      </c>
      <c r="D141">
        <f>VLOOKUP(表1_[[#This Row],[地区]],Sheet2!A:B,2,0)</f>
        <v>360000</v>
      </c>
      <c r="E141">
        <f>表1_[[#This Row],[年份]]+表1_[[#This Row],[行政区划]]</f>
        <v>362023</v>
      </c>
    </row>
    <row r="142" spans="1:5" x14ac:dyDescent="0.4">
      <c r="A142" t="s">
        <v>14</v>
      </c>
      <c r="B142" t="s">
        <v>34</v>
      </c>
      <c r="C142" s="2">
        <v>34050</v>
      </c>
      <c r="D142">
        <f>VLOOKUP(表1_[[#This Row],[地区]],Sheet2!A:B,2,0)</f>
        <v>370000</v>
      </c>
      <c r="E142">
        <f>表1_[[#This Row],[年份]]+表1_[[#This Row],[行政区划]]</f>
        <v>372014</v>
      </c>
    </row>
    <row r="143" spans="1:5" x14ac:dyDescent="0.4">
      <c r="A143" t="s">
        <v>14</v>
      </c>
      <c r="B143" t="s">
        <v>35</v>
      </c>
      <c r="C143" s="2">
        <v>28306</v>
      </c>
      <c r="D143">
        <f>VLOOKUP(表1_[[#This Row],[地区]],Sheet2!A:B,2,0)</f>
        <v>370000</v>
      </c>
      <c r="E143">
        <f>表1_[[#This Row],[年份]]+表1_[[#This Row],[行政区划]]</f>
        <v>372015</v>
      </c>
    </row>
    <row r="144" spans="1:5" x14ac:dyDescent="0.4">
      <c r="A144" t="s">
        <v>14</v>
      </c>
      <c r="B144" t="s">
        <v>36</v>
      </c>
      <c r="C144" s="2">
        <v>32952</v>
      </c>
      <c r="D144">
        <f>VLOOKUP(表1_[[#This Row],[地区]],Sheet2!A:B,2,0)</f>
        <v>370000</v>
      </c>
      <c r="E144">
        <f>表1_[[#This Row],[年份]]+表1_[[#This Row],[行政区划]]</f>
        <v>372016</v>
      </c>
    </row>
    <row r="145" spans="1:5" x14ac:dyDescent="0.4">
      <c r="A145" t="s">
        <v>14</v>
      </c>
      <c r="B145" t="s">
        <v>37</v>
      </c>
      <c r="C145" s="2">
        <v>38273</v>
      </c>
      <c r="D145">
        <f>VLOOKUP(表1_[[#This Row],[地区]],Sheet2!A:B,2,0)</f>
        <v>370000</v>
      </c>
      <c r="E145">
        <f>表1_[[#This Row],[年份]]+表1_[[#This Row],[行政区划]]</f>
        <v>372017</v>
      </c>
    </row>
    <row r="146" spans="1:5" x14ac:dyDescent="0.4">
      <c r="A146" t="s">
        <v>14</v>
      </c>
      <c r="B146" t="s">
        <v>38</v>
      </c>
      <c r="C146" s="2">
        <v>40440</v>
      </c>
      <c r="D146">
        <f>VLOOKUP(表1_[[#This Row],[地区]],Sheet2!A:B,2,0)</f>
        <v>370000</v>
      </c>
      <c r="E146">
        <f>表1_[[#This Row],[年份]]+表1_[[#This Row],[行政区划]]</f>
        <v>372018</v>
      </c>
    </row>
    <row r="147" spans="1:5" x14ac:dyDescent="0.4">
      <c r="A147" t="s">
        <v>14</v>
      </c>
      <c r="B147" t="s">
        <v>39</v>
      </c>
      <c r="C147" s="2">
        <v>44196</v>
      </c>
      <c r="D147">
        <f>VLOOKUP(表1_[[#This Row],[地区]],Sheet2!A:B,2,0)</f>
        <v>370000</v>
      </c>
      <c r="E147">
        <f>表1_[[#This Row],[年份]]+表1_[[#This Row],[行政区划]]</f>
        <v>372019</v>
      </c>
    </row>
    <row r="148" spans="1:5" x14ac:dyDescent="0.4">
      <c r="A148" t="s">
        <v>14</v>
      </c>
      <c r="B148" t="s">
        <v>40</v>
      </c>
      <c r="C148" s="2">
        <v>59946</v>
      </c>
      <c r="D148">
        <f>VLOOKUP(表1_[[#This Row],[地区]],Sheet2!A:B,2,0)</f>
        <v>370000</v>
      </c>
      <c r="E148">
        <f>表1_[[#This Row],[年份]]+表1_[[#This Row],[行政区划]]</f>
        <v>372020</v>
      </c>
    </row>
    <row r="149" spans="1:5" x14ac:dyDescent="0.4">
      <c r="A149" t="s">
        <v>14</v>
      </c>
      <c r="B149" t="s">
        <v>41</v>
      </c>
      <c r="C149" s="2">
        <v>83641</v>
      </c>
      <c r="D149">
        <f>VLOOKUP(表1_[[#This Row],[地区]],Sheet2!A:B,2,0)</f>
        <v>370000</v>
      </c>
      <c r="E149">
        <f>表1_[[#This Row],[年份]]+表1_[[#This Row],[行政区划]]</f>
        <v>372021</v>
      </c>
    </row>
    <row r="150" spans="1:5" x14ac:dyDescent="0.4">
      <c r="A150" t="s">
        <v>14</v>
      </c>
      <c r="B150" t="s">
        <v>42</v>
      </c>
      <c r="C150" s="2">
        <v>100611</v>
      </c>
      <c r="D150">
        <f>VLOOKUP(表1_[[#This Row],[地区]],Sheet2!A:B,2,0)</f>
        <v>370000</v>
      </c>
      <c r="E150">
        <f>表1_[[#This Row],[年份]]+表1_[[#This Row],[行政区划]]</f>
        <v>372022</v>
      </c>
    </row>
    <row r="151" spans="1:5" x14ac:dyDescent="0.4">
      <c r="A151" t="s">
        <v>14</v>
      </c>
      <c r="B151" t="s">
        <v>43</v>
      </c>
      <c r="C151" s="2">
        <v>120033</v>
      </c>
      <c r="D151">
        <f>VLOOKUP(表1_[[#This Row],[地区]],Sheet2!A:B,2,0)</f>
        <v>370000</v>
      </c>
      <c r="E151">
        <f>表1_[[#This Row],[年份]]+表1_[[#This Row],[行政区划]]</f>
        <v>372023</v>
      </c>
    </row>
    <row r="152" spans="1:5" x14ac:dyDescent="0.4">
      <c r="A152" t="s">
        <v>15</v>
      </c>
      <c r="B152" t="s">
        <v>34</v>
      </c>
      <c r="C152" s="2">
        <v>11341</v>
      </c>
      <c r="D152">
        <f>VLOOKUP(表1_[[#This Row],[地区]],Sheet2!A:B,2,0)</f>
        <v>410000</v>
      </c>
      <c r="E152">
        <f>表1_[[#This Row],[年份]]+表1_[[#This Row],[行政区划]]</f>
        <v>412014</v>
      </c>
    </row>
    <row r="153" spans="1:5" x14ac:dyDescent="0.4">
      <c r="A153" t="s">
        <v>15</v>
      </c>
      <c r="B153" t="s">
        <v>35</v>
      </c>
      <c r="C153" s="2">
        <v>9780</v>
      </c>
      <c r="D153">
        <f>VLOOKUP(表1_[[#This Row],[地区]],Sheet2!A:B,2,0)</f>
        <v>410000</v>
      </c>
      <c r="E153">
        <f>表1_[[#This Row],[年份]]+表1_[[#This Row],[行政区划]]</f>
        <v>412015</v>
      </c>
    </row>
    <row r="154" spans="1:5" x14ac:dyDescent="0.4">
      <c r="A154" t="s">
        <v>15</v>
      </c>
      <c r="B154" t="s">
        <v>36</v>
      </c>
      <c r="C154" s="2">
        <v>10385</v>
      </c>
      <c r="D154">
        <f>VLOOKUP(表1_[[#This Row],[地区]],Sheet2!A:B,2,0)</f>
        <v>410000</v>
      </c>
      <c r="E154">
        <f>表1_[[#This Row],[年份]]+表1_[[#This Row],[行政区划]]</f>
        <v>412016</v>
      </c>
    </row>
    <row r="155" spans="1:5" x14ac:dyDescent="0.4">
      <c r="A155" t="s">
        <v>15</v>
      </c>
      <c r="B155" t="s">
        <v>37</v>
      </c>
      <c r="C155" s="2">
        <v>13058</v>
      </c>
      <c r="D155">
        <f>VLOOKUP(表1_[[#This Row],[地区]],Sheet2!A:B,2,0)</f>
        <v>410000</v>
      </c>
      <c r="E155">
        <f>表1_[[#This Row],[年份]]+表1_[[#This Row],[行政区划]]</f>
        <v>412017</v>
      </c>
    </row>
    <row r="156" spans="1:5" x14ac:dyDescent="0.4">
      <c r="A156" t="s">
        <v>15</v>
      </c>
      <c r="B156" t="s">
        <v>38</v>
      </c>
      <c r="C156" s="2">
        <v>16230</v>
      </c>
      <c r="D156">
        <f>VLOOKUP(表1_[[#This Row],[地区]],Sheet2!A:B,2,0)</f>
        <v>410000</v>
      </c>
      <c r="E156">
        <f>表1_[[#This Row],[年份]]+表1_[[#This Row],[行政区划]]</f>
        <v>412018</v>
      </c>
    </row>
    <row r="157" spans="1:5" x14ac:dyDescent="0.4">
      <c r="A157" t="s">
        <v>15</v>
      </c>
      <c r="B157" t="s">
        <v>39</v>
      </c>
      <c r="C157" s="2">
        <v>19035</v>
      </c>
      <c r="D157">
        <f>VLOOKUP(表1_[[#This Row],[地区]],Sheet2!A:B,2,0)</f>
        <v>410000</v>
      </c>
      <c r="E157">
        <f>表1_[[#This Row],[年份]]+表1_[[#This Row],[行政区划]]</f>
        <v>412019</v>
      </c>
    </row>
    <row r="158" spans="1:5" x14ac:dyDescent="0.4">
      <c r="A158" t="s">
        <v>15</v>
      </c>
      <c r="B158" t="s">
        <v>40</v>
      </c>
      <c r="C158" s="2">
        <v>22244</v>
      </c>
      <c r="D158">
        <f>VLOOKUP(表1_[[#This Row],[地区]],Sheet2!A:B,2,0)</f>
        <v>410000</v>
      </c>
      <c r="E158">
        <f>表1_[[#This Row],[年份]]+表1_[[#This Row],[行政区划]]</f>
        <v>412020</v>
      </c>
    </row>
    <row r="159" spans="1:5" x14ac:dyDescent="0.4">
      <c r="A159" t="s">
        <v>15</v>
      </c>
      <c r="B159" t="s">
        <v>41</v>
      </c>
      <c r="C159" s="2">
        <v>26256</v>
      </c>
      <c r="D159">
        <f>VLOOKUP(表1_[[#This Row],[地区]],Sheet2!A:B,2,0)</f>
        <v>410000</v>
      </c>
      <c r="E159">
        <f>表1_[[#This Row],[年份]]+表1_[[#This Row],[行政区划]]</f>
        <v>412021</v>
      </c>
    </row>
    <row r="160" spans="1:5" x14ac:dyDescent="0.4">
      <c r="A160" t="s">
        <v>15</v>
      </c>
      <c r="B160" t="s">
        <v>42</v>
      </c>
      <c r="C160" s="2">
        <v>29852</v>
      </c>
      <c r="D160">
        <f>VLOOKUP(表1_[[#This Row],[地区]],Sheet2!A:B,2,0)</f>
        <v>410000</v>
      </c>
      <c r="E160">
        <f>表1_[[#This Row],[年份]]+表1_[[#This Row],[行政区划]]</f>
        <v>412022</v>
      </c>
    </row>
    <row r="161" spans="1:5" x14ac:dyDescent="0.4">
      <c r="A161" t="s">
        <v>15</v>
      </c>
      <c r="B161" t="s">
        <v>43</v>
      </c>
      <c r="C161" s="2">
        <v>30162</v>
      </c>
      <c r="D161">
        <f>VLOOKUP(表1_[[#This Row],[地区]],Sheet2!A:B,2,0)</f>
        <v>410000</v>
      </c>
      <c r="E161">
        <f>表1_[[#This Row],[年份]]+表1_[[#This Row],[行政区划]]</f>
        <v>412023</v>
      </c>
    </row>
    <row r="162" spans="1:5" x14ac:dyDescent="0.4">
      <c r="A162" t="s">
        <v>16</v>
      </c>
      <c r="B162" t="s">
        <v>34</v>
      </c>
      <c r="C162" s="2">
        <v>11678</v>
      </c>
      <c r="D162">
        <f>VLOOKUP(表1_[[#This Row],[地区]],Sheet2!A:B,2,0)</f>
        <v>420000</v>
      </c>
      <c r="E162">
        <f>表1_[[#This Row],[年份]]+表1_[[#This Row],[行政区划]]</f>
        <v>422014</v>
      </c>
    </row>
    <row r="163" spans="1:5" x14ac:dyDescent="0.4">
      <c r="A163" t="s">
        <v>16</v>
      </c>
      <c r="B163" t="s">
        <v>35</v>
      </c>
      <c r="C163" s="2">
        <v>8934</v>
      </c>
      <c r="D163">
        <f>VLOOKUP(表1_[[#This Row],[地区]],Sheet2!A:B,2,0)</f>
        <v>420000</v>
      </c>
      <c r="E163">
        <f>表1_[[#This Row],[年份]]+表1_[[#This Row],[行政区划]]</f>
        <v>422015</v>
      </c>
    </row>
    <row r="164" spans="1:5" x14ac:dyDescent="0.4">
      <c r="A164" t="s">
        <v>16</v>
      </c>
      <c r="B164" t="s">
        <v>36</v>
      </c>
      <c r="C164" s="2">
        <v>10450</v>
      </c>
      <c r="D164">
        <f>VLOOKUP(表1_[[#This Row],[地区]],Sheet2!A:B,2,0)</f>
        <v>420000</v>
      </c>
      <c r="E164">
        <f>表1_[[#This Row],[年份]]+表1_[[#This Row],[行政区划]]</f>
        <v>422016</v>
      </c>
    </row>
    <row r="165" spans="1:5" x14ac:dyDescent="0.4">
      <c r="A165" t="s">
        <v>16</v>
      </c>
      <c r="B165" t="s">
        <v>37</v>
      </c>
      <c r="C165" s="2">
        <v>12460</v>
      </c>
      <c r="D165">
        <f>VLOOKUP(表1_[[#This Row],[地区]],Sheet2!A:B,2,0)</f>
        <v>420000</v>
      </c>
      <c r="E165">
        <f>表1_[[#This Row],[年份]]+表1_[[#This Row],[行政区划]]</f>
        <v>422017</v>
      </c>
    </row>
    <row r="166" spans="1:5" x14ac:dyDescent="0.4">
      <c r="A166" t="s">
        <v>16</v>
      </c>
      <c r="B166" t="s">
        <v>38</v>
      </c>
      <c r="C166" s="2">
        <v>15372</v>
      </c>
      <c r="D166">
        <f>VLOOKUP(表1_[[#This Row],[地区]],Sheet2!A:B,2,0)</f>
        <v>420000</v>
      </c>
      <c r="E166">
        <f>表1_[[#This Row],[年份]]+表1_[[#This Row],[行政区划]]</f>
        <v>422018</v>
      </c>
    </row>
    <row r="167" spans="1:5" x14ac:dyDescent="0.4">
      <c r="A167" t="s">
        <v>16</v>
      </c>
      <c r="B167" t="s">
        <v>39</v>
      </c>
      <c r="C167" s="2">
        <v>17737</v>
      </c>
      <c r="D167">
        <f>VLOOKUP(表1_[[#This Row],[地区]],Sheet2!A:B,2,0)</f>
        <v>420000</v>
      </c>
      <c r="E167">
        <f>表1_[[#This Row],[年份]]+表1_[[#This Row],[行政区划]]</f>
        <v>422019</v>
      </c>
    </row>
    <row r="168" spans="1:5" x14ac:dyDescent="0.4">
      <c r="A168" t="s">
        <v>16</v>
      </c>
      <c r="B168" t="s">
        <v>40</v>
      </c>
      <c r="C168" s="2">
        <v>20290</v>
      </c>
      <c r="D168">
        <f>VLOOKUP(表1_[[#This Row],[地区]],Sheet2!A:B,2,0)</f>
        <v>420000</v>
      </c>
      <c r="E168">
        <f>表1_[[#This Row],[年份]]+表1_[[#This Row],[行政区划]]</f>
        <v>422020</v>
      </c>
    </row>
    <row r="169" spans="1:5" x14ac:dyDescent="0.4">
      <c r="A169" t="s">
        <v>16</v>
      </c>
      <c r="B169" t="s">
        <v>41</v>
      </c>
      <c r="C169" s="2">
        <v>24783</v>
      </c>
      <c r="D169">
        <f>VLOOKUP(表1_[[#This Row],[地区]],Sheet2!A:B,2,0)</f>
        <v>420000</v>
      </c>
      <c r="E169">
        <f>表1_[[#This Row],[年份]]+表1_[[#This Row],[行政区划]]</f>
        <v>422021</v>
      </c>
    </row>
    <row r="170" spans="1:5" x14ac:dyDescent="0.4">
      <c r="A170" t="s">
        <v>16</v>
      </c>
      <c r="B170" t="s">
        <v>42</v>
      </c>
      <c r="C170" s="2">
        <v>27918</v>
      </c>
      <c r="D170">
        <f>VLOOKUP(表1_[[#This Row],[地区]],Sheet2!A:B,2,0)</f>
        <v>420000</v>
      </c>
      <c r="E170">
        <f>表1_[[#This Row],[年份]]+表1_[[#This Row],[行政区划]]</f>
        <v>422022</v>
      </c>
    </row>
    <row r="171" spans="1:5" x14ac:dyDescent="0.4">
      <c r="A171" t="s">
        <v>16</v>
      </c>
      <c r="B171" t="s">
        <v>43</v>
      </c>
      <c r="C171" s="2">
        <v>32209</v>
      </c>
      <c r="D171">
        <f>VLOOKUP(表1_[[#This Row],[地区]],Sheet2!A:B,2,0)</f>
        <v>420000</v>
      </c>
      <c r="E171">
        <f>表1_[[#This Row],[年份]]+表1_[[#This Row],[行政区划]]</f>
        <v>422023</v>
      </c>
    </row>
    <row r="172" spans="1:5" x14ac:dyDescent="0.4">
      <c r="A172" t="s">
        <v>17</v>
      </c>
      <c r="B172" t="s">
        <v>34</v>
      </c>
      <c r="C172" s="2">
        <v>9758</v>
      </c>
      <c r="D172">
        <f>VLOOKUP(表1_[[#This Row],[地区]],Sheet2!A:B,2,0)</f>
        <v>430000</v>
      </c>
      <c r="E172">
        <f>表1_[[#This Row],[年份]]+表1_[[#This Row],[行政区划]]</f>
        <v>432014</v>
      </c>
    </row>
    <row r="173" spans="1:5" x14ac:dyDescent="0.4">
      <c r="A173" t="s">
        <v>17</v>
      </c>
      <c r="B173" t="s">
        <v>35</v>
      </c>
      <c r="C173" s="2">
        <v>6402</v>
      </c>
      <c r="D173">
        <f>VLOOKUP(表1_[[#This Row],[地区]],Sheet2!A:B,2,0)</f>
        <v>430000</v>
      </c>
      <c r="E173">
        <f>表1_[[#This Row],[年份]]+表1_[[#This Row],[行政区划]]</f>
        <v>432015</v>
      </c>
    </row>
    <row r="174" spans="1:5" x14ac:dyDescent="0.4">
      <c r="A174" t="s">
        <v>17</v>
      </c>
      <c r="B174" t="s">
        <v>36</v>
      </c>
      <c r="C174" s="2">
        <v>7632</v>
      </c>
      <c r="D174">
        <f>VLOOKUP(表1_[[#This Row],[地区]],Sheet2!A:B,2,0)</f>
        <v>430000</v>
      </c>
      <c r="E174">
        <f>表1_[[#This Row],[年份]]+表1_[[#This Row],[行政区划]]</f>
        <v>432016</v>
      </c>
    </row>
    <row r="175" spans="1:5" x14ac:dyDescent="0.4">
      <c r="A175" t="s">
        <v>17</v>
      </c>
      <c r="B175" t="s">
        <v>37</v>
      </c>
      <c r="C175" s="2">
        <v>10204</v>
      </c>
      <c r="D175">
        <f>VLOOKUP(表1_[[#This Row],[地区]],Sheet2!A:B,2,0)</f>
        <v>430000</v>
      </c>
      <c r="E175">
        <f>表1_[[#This Row],[年份]]+表1_[[#This Row],[行政区划]]</f>
        <v>432017</v>
      </c>
    </row>
    <row r="176" spans="1:5" x14ac:dyDescent="0.4">
      <c r="A176" t="s">
        <v>17</v>
      </c>
      <c r="B176" t="s">
        <v>38</v>
      </c>
      <c r="C176" s="2">
        <v>15020</v>
      </c>
      <c r="D176">
        <f>VLOOKUP(表1_[[#This Row],[地区]],Sheet2!A:B,2,0)</f>
        <v>430000</v>
      </c>
      <c r="E176">
        <f>表1_[[#This Row],[年份]]+表1_[[#This Row],[行政区划]]</f>
        <v>432018</v>
      </c>
    </row>
    <row r="177" spans="1:5" x14ac:dyDescent="0.4">
      <c r="A177" t="s">
        <v>17</v>
      </c>
      <c r="B177" t="s">
        <v>39</v>
      </c>
      <c r="C177" s="2">
        <v>21343</v>
      </c>
      <c r="D177">
        <f>VLOOKUP(表1_[[#This Row],[地区]],Sheet2!A:B,2,0)</f>
        <v>430000</v>
      </c>
      <c r="E177">
        <f>表1_[[#This Row],[年份]]+表1_[[#This Row],[行政区划]]</f>
        <v>432019</v>
      </c>
    </row>
    <row r="178" spans="1:5" x14ac:dyDescent="0.4">
      <c r="A178" t="s">
        <v>17</v>
      </c>
      <c r="B178" t="s">
        <v>40</v>
      </c>
      <c r="C178" s="2">
        <v>26253</v>
      </c>
      <c r="D178">
        <f>VLOOKUP(表1_[[#This Row],[地区]],Sheet2!A:B,2,0)</f>
        <v>430000</v>
      </c>
      <c r="E178">
        <f>表1_[[#This Row],[年份]]+表1_[[#This Row],[行政区划]]</f>
        <v>432020</v>
      </c>
    </row>
    <row r="179" spans="1:5" x14ac:dyDescent="0.4">
      <c r="A179" t="s">
        <v>17</v>
      </c>
      <c r="B179" t="s">
        <v>41</v>
      </c>
      <c r="C179" s="2">
        <v>36852</v>
      </c>
      <c r="D179">
        <f>VLOOKUP(表1_[[#This Row],[地区]],Sheet2!A:B,2,0)</f>
        <v>430000</v>
      </c>
      <c r="E179">
        <f>表1_[[#This Row],[年份]]+表1_[[#This Row],[行政区划]]</f>
        <v>432021</v>
      </c>
    </row>
    <row r="180" spans="1:5" x14ac:dyDescent="0.4">
      <c r="A180" t="s">
        <v>17</v>
      </c>
      <c r="B180" t="s">
        <v>42</v>
      </c>
      <c r="C180" s="2">
        <v>46908</v>
      </c>
      <c r="D180">
        <f>VLOOKUP(表1_[[#This Row],[地区]],Sheet2!A:B,2,0)</f>
        <v>430000</v>
      </c>
      <c r="E180">
        <f>表1_[[#This Row],[年份]]+表1_[[#This Row],[行政区划]]</f>
        <v>432022</v>
      </c>
    </row>
    <row r="181" spans="1:5" x14ac:dyDescent="0.4">
      <c r="A181" t="s">
        <v>17</v>
      </c>
      <c r="B181" t="s">
        <v>43</v>
      </c>
      <c r="C181" s="2">
        <v>53825</v>
      </c>
      <c r="D181">
        <f>VLOOKUP(表1_[[#This Row],[地区]],Sheet2!A:B,2,0)</f>
        <v>430000</v>
      </c>
      <c r="E181">
        <f>表1_[[#This Row],[年份]]+表1_[[#This Row],[行政区划]]</f>
        <v>432023</v>
      </c>
    </row>
    <row r="182" spans="1:5" x14ac:dyDescent="0.4">
      <c r="A182" t="s">
        <v>18</v>
      </c>
      <c r="B182" t="s">
        <v>34</v>
      </c>
      <c r="C182" s="2">
        <v>49177</v>
      </c>
      <c r="D182">
        <f>VLOOKUP(表1_[[#This Row],[地区]],Sheet2!A:B,2,0)</f>
        <v>440000</v>
      </c>
      <c r="E182">
        <f>表1_[[#This Row],[年份]]+表1_[[#This Row],[行政区划]]</f>
        <v>442014</v>
      </c>
    </row>
    <row r="183" spans="1:5" x14ac:dyDescent="0.4">
      <c r="A183" t="s">
        <v>18</v>
      </c>
      <c r="B183" t="s">
        <v>35</v>
      </c>
      <c r="C183" s="2">
        <v>43456</v>
      </c>
      <c r="D183">
        <f>VLOOKUP(表1_[[#This Row],[地区]],Sheet2!A:B,2,0)</f>
        <v>440000</v>
      </c>
      <c r="E183">
        <f>表1_[[#This Row],[年份]]+表1_[[#This Row],[行政区划]]</f>
        <v>442015</v>
      </c>
    </row>
    <row r="184" spans="1:5" x14ac:dyDescent="0.4">
      <c r="A184" t="s">
        <v>18</v>
      </c>
      <c r="B184" t="s">
        <v>36</v>
      </c>
      <c r="C184" s="2">
        <v>66843</v>
      </c>
      <c r="D184">
        <f>VLOOKUP(表1_[[#This Row],[地区]],Sheet2!A:B,2,0)</f>
        <v>440000</v>
      </c>
      <c r="E184">
        <f>表1_[[#This Row],[年份]]+表1_[[#This Row],[行政区划]]</f>
        <v>442016</v>
      </c>
    </row>
    <row r="185" spans="1:5" x14ac:dyDescent="0.4">
      <c r="A185" t="s">
        <v>18</v>
      </c>
      <c r="B185" t="s">
        <v>37</v>
      </c>
      <c r="C185" s="2">
        <v>103149</v>
      </c>
      <c r="D185">
        <f>VLOOKUP(表1_[[#This Row],[地区]],Sheet2!A:B,2,0)</f>
        <v>440000</v>
      </c>
      <c r="E185">
        <f>表1_[[#This Row],[年份]]+表1_[[#This Row],[行政区划]]</f>
        <v>442017</v>
      </c>
    </row>
    <row r="186" spans="1:5" x14ac:dyDescent="0.4">
      <c r="A186" t="s">
        <v>18</v>
      </c>
      <c r="B186" t="s">
        <v>38</v>
      </c>
      <c r="C186" s="2">
        <v>121523</v>
      </c>
      <c r="D186">
        <f>VLOOKUP(表1_[[#This Row],[地区]],Sheet2!A:B,2,0)</f>
        <v>440000</v>
      </c>
      <c r="E186">
        <f>表1_[[#This Row],[年份]]+表1_[[#This Row],[行政区划]]</f>
        <v>442018</v>
      </c>
    </row>
    <row r="187" spans="1:5" x14ac:dyDescent="0.4">
      <c r="A187" t="s">
        <v>18</v>
      </c>
      <c r="B187" t="s">
        <v>39</v>
      </c>
      <c r="C187" s="2">
        <v>146954</v>
      </c>
      <c r="D187">
        <f>VLOOKUP(表1_[[#This Row],[地区]],Sheet2!A:B,2,0)</f>
        <v>440000</v>
      </c>
      <c r="E187">
        <f>表1_[[#This Row],[年份]]+表1_[[#This Row],[行政区划]]</f>
        <v>442019</v>
      </c>
    </row>
    <row r="188" spans="1:5" x14ac:dyDescent="0.4">
      <c r="A188" t="s">
        <v>18</v>
      </c>
      <c r="B188" t="s">
        <v>40</v>
      </c>
      <c r="C188" s="2">
        <v>166140</v>
      </c>
      <c r="D188">
        <f>VLOOKUP(表1_[[#This Row],[地区]],Sheet2!A:B,2,0)</f>
        <v>440000</v>
      </c>
      <c r="E188">
        <f>表1_[[#This Row],[年份]]+表1_[[#This Row],[行政区划]]</f>
        <v>442020</v>
      </c>
    </row>
    <row r="189" spans="1:5" x14ac:dyDescent="0.4">
      <c r="A189" t="s">
        <v>18</v>
      </c>
      <c r="B189" t="s">
        <v>41</v>
      </c>
      <c r="C189" s="2">
        <v>201009</v>
      </c>
      <c r="D189">
        <f>VLOOKUP(表1_[[#This Row],[地区]],Sheet2!A:B,2,0)</f>
        <v>440000</v>
      </c>
      <c r="E189">
        <f>表1_[[#This Row],[年份]]+表1_[[#This Row],[行政区划]]</f>
        <v>442021</v>
      </c>
    </row>
    <row r="190" spans="1:5" x14ac:dyDescent="0.4">
      <c r="A190" t="s">
        <v>18</v>
      </c>
      <c r="B190" t="s">
        <v>42</v>
      </c>
      <c r="C190" s="2">
        <v>221782</v>
      </c>
      <c r="D190">
        <f>VLOOKUP(表1_[[#This Row],[地区]],Sheet2!A:B,2,0)</f>
        <v>440000</v>
      </c>
      <c r="E190">
        <f>表1_[[#This Row],[年份]]+表1_[[#This Row],[行政区划]]</f>
        <v>442022</v>
      </c>
    </row>
    <row r="191" spans="1:5" x14ac:dyDescent="0.4">
      <c r="A191" t="s">
        <v>18</v>
      </c>
      <c r="B191" t="s">
        <v>43</v>
      </c>
      <c r="C191" s="2">
        <v>241406</v>
      </c>
      <c r="D191">
        <f>VLOOKUP(表1_[[#This Row],[地区]],Sheet2!A:B,2,0)</f>
        <v>440000</v>
      </c>
      <c r="E191">
        <f>表1_[[#This Row],[年份]]+表1_[[#This Row],[行政区划]]</f>
        <v>442023</v>
      </c>
    </row>
    <row r="192" spans="1:5" x14ac:dyDescent="0.4">
      <c r="A192" t="s">
        <v>19</v>
      </c>
      <c r="B192" t="s">
        <v>34</v>
      </c>
      <c r="C192" s="2">
        <v>3328</v>
      </c>
      <c r="D192">
        <f>VLOOKUP(表1_[[#This Row],[地区]],Sheet2!A:B,2,0)</f>
        <v>450000</v>
      </c>
      <c r="E192">
        <f>表1_[[#This Row],[年份]]+表1_[[#This Row],[行政区划]]</f>
        <v>452014</v>
      </c>
    </row>
    <row r="193" spans="1:5" x14ac:dyDescent="0.4">
      <c r="A193" t="s">
        <v>19</v>
      </c>
      <c r="B193" t="s">
        <v>35</v>
      </c>
      <c r="C193" s="2">
        <v>2781</v>
      </c>
      <c r="D193">
        <f>VLOOKUP(表1_[[#This Row],[地区]],Sheet2!A:B,2,0)</f>
        <v>450000</v>
      </c>
      <c r="E193">
        <f>表1_[[#This Row],[年份]]+表1_[[#This Row],[行政区划]]</f>
        <v>452015</v>
      </c>
    </row>
    <row r="194" spans="1:5" x14ac:dyDescent="0.4">
      <c r="A194" t="s">
        <v>19</v>
      </c>
      <c r="B194" t="s">
        <v>36</v>
      </c>
      <c r="C194" s="2">
        <v>3217</v>
      </c>
      <c r="D194">
        <f>VLOOKUP(表1_[[#This Row],[地区]],Sheet2!A:B,2,0)</f>
        <v>450000</v>
      </c>
      <c r="E194">
        <f>表1_[[#This Row],[年份]]+表1_[[#This Row],[行政区划]]</f>
        <v>452016</v>
      </c>
    </row>
    <row r="195" spans="1:5" x14ac:dyDescent="0.4">
      <c r="A195" t="s">
        <v>19</v>
      </c>
      <c r="B195" t="s">
        <v>37</v>
      </c>
      <c r="C195" s="2">
        <v>3232</v>
      </c>
      <c r="D195">
        <f>VLOOKUP(表1_[[#This Row],[地区]],Sheet2!A:B,2,0)</f>
        <v>450000</v>
      </c>
      <c r="E195">
        <f>表1_[[#This Row],[年份]]+表1_[[#This Row],[行政区划]]</f>
        <v>452017</v>
      </c>
    </row>
    <row r="196" spans="1:5" x14ac:dyDescent="0.4">
      <c r="A196" t="s">
        <v>19</v>
      </c>
      <c r="B196" t="s">
        <v>38</v>
      </c>
      <c r="C196" s="2">
        <v>3444</v>
      </c>
      <c r="D196">
        <f>VLOOKUP(表1_[[#This Row],[地区]],Sheet2!A:B,2,0)</f>
        <v>450000</v>
      </c>
      <c r="E196">
        <f>表1_[[#This Row],[年份]]+表1_[[#This Row],[行政区划]]</f>
        <v>452018</v>
      </c>
    </row>
    <row r="197" spans="1:5" x14ac:dyDescent="0.4">
      <c r="A197" t="s">
        <v>19</v>
      </c>
      <c r="B197" t="s">
        <v>39</v>
      </c>
      <c r="C197" s="2">
        <v>4846</v>
      </c>
      <c r="D197">
        <f>VLOOKUP(表1_[[#This Row],[地区]],Sheet2!A:B,2,0)</f>
        <v>450000</v>
      </c>
      <c r="E197">
        <f>表1_[[#This Row],[年份]]+表1_[[#This Row],[行政区划]]</f>
        <v>452019</v>
      </c>
    </row>
    <row r="198" spans="1:5" x14ac:dyDescent="0.4">
      <c r="A198" t="s">
        <v>19</v>
      </c>
      <c r="B198" t="s">
        <v>40</v>
      </c>
      <c r="C198" s="2">
        <v>6502</v>
      </c>
      <c r="D198">
        <f>VLOOKUP(表1_[[#This Row],[地区]],Sheet2!A:B,2,0)</f>
        <v>450000</v>
      </c>
      <c r="E198">
        <f>表1_[[#This Row],[年份]]+表1_[[#This Row],[行政区划]]</f>
        <v>452020</v>
      </c>
    </row>
    <row r="199" spans="1:5" x14ac:dyDescent="0.4">
      <c r="A199" t="s">
        <v>19</v>
      </c>
      <c r="B199" t="s">
        <v>41</v>
      </c>
      <c r="C199" s="2">
        <v>10139</v>
      </c>
      <c r="D199">
        <f>VLOOKUP(表1_[[#This Row],[地区]],Sheet2!A:B,2,0)</f>
        <v>450000</v>
      </c>
      <c r="E199">
        <f>表1_[[#This Row],[年份]]+表1_[[#This Row],[行政区划]]</f>
        <v>452021</v>
      </c>
    </row>
    <row r="200" spans="1:5" x14ac:dyDescent="0.4">
      <c r="A200" t="s">
        <v>19</v>
      </c>
      <c r="B200" t="s">
        <v>42</v>
      </c>
      <c r="C200" s="2">
        <v>11634</v>
      </c>
      <c r="D200">
        <f>VLOOKUP(表1_[[#This Row],[地区]],Sheet2!A:B,2,0)</f>
        <v>450000</v>
      </c>
      <c r="E200">
        <f>表1_[[#This Row],[年份]]+表1_[[#This Row],[行政区划]]</f>
        <v>452022</v>
      </c>
    </row>
    <row r="201" spans="1:5" x14ac:dyDescent="0.4">
      <c r="A201" t="s">
        <v>19</v>
      </c>
      <c r="B201" t="s">
        <v>43</v>
      </c>
      <c r="C201" s="2">
        <v>12372</v>
      </c>
      <c r="D201">
        <f>VLOOKUP(表1_[[#This Row],[地区]],Sheet2!A:B,2,0)</f>
        <v>450000</v>
      </c>
      <c r="E201">
        <f>表1_[[#This Row],[年份]]+表1_[[#This Row],[行政区划]]</f>
        <v>452023</v>
      </c>
    </row>
    <row r="202" spans="1:5" x14ac:dyDescent="0.4">
      <c r="A202" t="s">
        <v>20</v>
      </c>
      <c r="B202" t="s">
        <v>34</v>
      </c>
      <c r="C202" s="2">
        <v>843</v>
      </c>
      <c r="D202">
        <f>VLOOKUP(表1_[[#This Row],[地区]],Sheet2!A:B,2,0)</f>
        <v>460000</v>
      </c>
      <c r="E202">
        <f>表1_[[#This Row],[年份]]+表1_[[#This Row],[行政区划]]</f>
        <v>462014</v>
      </c>
    </row>
    <row r="203" spans="1:5" x14ac:dyDescent="0.4">
      <c r="A203" t="s">
        <v>20</v>
      </c>
      <c r="B203" t="s">
        <v>35</v>
      </c>
      <c r="C203" s="2">
        <v>500</v>
      </c>
      <c r="D203">
        <f>VLOOKUP(表1_[[#This Row],[地区]],Sheet2!A:B,2,0)</f>
        <v>460000</v>
      </c>
      <c r="E203">
        <f>表1_[[#This Row],[年份]]+表1_[[#This Row],[行政区划]]</f>
        <v>462015</v>
      </c>
    </row>
    <row r="204" spans="1:5" x14ac:dyDescent="0.4">
      <c r="A204" t="s">
        <v>20</v>
      </c>
      <c r="B204" t="s">
        <v>36</v>
      </c>
      <c r="C204" s="2">
        <v>512</v>
      </c>
      <c r="D204">
        <f>VLOOKUP(表1_[[#This Row],[地区]],Sheet2!A:B,2,0)</f>
        <v>460000</v>
      </c>
      <c r="E204">
        <f>表1_[[#This Row],[年份]]+表1_[[#This Row],[行政区划]]</f>
        <v>462016</v>
      </c>
    </row>
    <row r="205" spans="1:5" x14ac:dyDescent="0.4">
      <c r="A205" t="s">
        <v>20</v>
      </c>
      <c r="B205" t="s">
        <v>37</v>
      </c>
      <c r="C205" s="2">
        <v>549</v>
      </c>
      <c r="D205">
        <f>VLOOKUP(表1_[[#This Row],[地区]],Sheet2!A:B,2,0)</f>
        <v>460000</v>
      </c>
      <c r="E205">
        <f>表1_[[#This Row],[年份]]+表1_[[#This Row],[行政区划]]</f>
        <v>462017</v>
      </c>
    </row>
    <row r="206" spans="1:5" x14ac:dyDescent="0.4">
      <c r="A206" t="s">
        <v>20</v>
      </c>
      <c r="B206" t="s">
        <v>38</v>
      </c>
      <c r="C206" s="2">
        <v>706</v>
      </c>
      <c r="D206">
        <f>VLOOKUP(表1_[[#This Row],[地区]],Sheet2!A:B,2,0)</f>
        <v>460000</v>
      </c>
      <c r="E206">
        <f>表1_[[#This Row],[年份]]+表1_[[#This Row],[行政区划]]</f>
        <v>462018</v>
      </c>
    </row>
    <row r="207" spans="1:5" x14ac:dyDescent="0.4">
      <c r="A207" t="s">
        <v>20</v>
      </c>
      <c r="B207" t="s">
        <v>39</v>
      </c>
      <c r="C207" s="2">
        <v>835</v>
      </c>
      <c r="D207">
        <f>VLOOKUP(表1_[[#This Row],[地区]],Sheet2!A:B,2,0)</f>
        <v>460000</v>
      </c>
      <c r="E207">
        <f>表1_[[#This Row],[年份]]+表1_[[#This Row],[行政区划]]</f>
        <v>462019</v>
      </c>
    </row>
    <row r="208" spans="1:5" x14ac:dyDescent="0.4">
      <c r="A208" t="s">
        <v>20</v>
      </c>
      <c r="B208" t="s">
        <v>40</v>
      </c>
      <c r="C208" s="2">
        <v>1018</v>
      </c>
      <c r="D208">
        <f>VLOOKUP(表1_[[#This Row],[地区]],Sheet2!A:B,2,0)</f>
        <v>460000</v>
      </c>
      <c r="E208">
        <f>表1_[[#This Row],[年份]]+表1_[[#This Row],[行政区划]]</f>
        <v>462020</v>
      </c>
    </row>
    <row r="209" spans="1:5" x14ac:dyDescent="0.4">
      <c r="A209" t="s">
        <v>20</v>
      </c>
      <c r="B209" t="s">
        <v>41</v>
      </c>
      <c r="C209" s="2">
        <v>1733</v>
      </c>
      <c r="D209">
        <f>VLOOKUP(表1_[[#This Row],[地区]],Sheet2!A:B,2,0)</f>
        <v>460000</v>
      </c>
      <c r="E209">
        <f>表1_[[#This Row],[年份]]+表1_[[#This Row],[行政区划]]</f>
        <v>462021</v>
      </c>
    </row>
    <row r="210" spans="1:5" x14ac:dyDescent="0.4">
      <c r="A210" t="s">
        <v>20</v>
      </c>
      <c r="B210" t="s">
        <v>42</v>
      </c>
      <c r="C210" s="2">
        <v>2328</v>
      </c>
      <c r="D210">
        <f>VLOOKUP(表1_[[#This Row],[地区]],Sheet2!A:B,2,0)</f>
        <v>460000</v>
      </c>
      <c r="E210">
        <f>表1_[[#This Row],[年份]]+表1_[[#This Row],[行政区划]]</f>
        <v>462022</v>
      </c>
    </row>
    <row r="211" spans="1:5" x14ac:dyDescent="0.4">
      <c r="A211" t="s">
        <v>20</v>
      </c>
      <c r="B211" t="s">
        <v>43</v>
      </c>
      <c r="C211" s="2">
        <v>2535</v>
      </c>
      <c r="D211">
        <f>VLOOKUP(表1_[[#This Row],[地区]],Sheet2!A:B,2,0)</f>
        <v>460000</v>
      </c>
      <c r="E211">
        <f>表1_[[#This Row],[年份]]+表1_[[#This Row],[行政区划]]</f>
        <v>462023</v>
      </c>
    </row>
    <row r="212" spans="1:5" x14ac:dyDescent="0.4">
      <c r="A212" t="s">
        <v>21</v>
      </c>
      <c r="B212" t="s">
        <v>34</v>
      </c>
      <c r="C212" s="2">
        <v>8580</v>
      </c>
      <c r="D212">
        <f>VLOOKUP(表1_[[#This Row],[地区]],Sheet2!A:B,2,0)</f>
        <v>500000</v>
      </c>
      <c r="E212">
        <f>表1_[[#This Row],[年份]]+表1_[[#This Row],[行政区划]]</f>
        <v>502014</v>
      </c>
    </row>
    <row r="213" spans="1:5" x14ac:dyDescent="0.4">
      <c r="A213" t="s">
        <v>21</v>
      </c>
      <c r="B213" t="s">
        <v>35</v>
      </c>
      <c r="C213" s="2">
        <v>7352</v>
      </c>
      <c r="D213">
        <f>VLOOKUP(表1_[[#This Row],[地区]],Sheet2!A:B,2,0)</f>
        <v>500000</v>
      </c>
      <c r="E213">
        <f>表1_[[#This Row],[年份]]+表1_[[#This Row],[行政区划]]</f>
        <v>502015</v>
      </c>
    </row>
    <row r="214" spans="1:5" x14ac:dyDescent="0.4">
      <c r="A214" t="s">
        <v>21</v>
      </c>
      <c r="B214" t="s">
        <v>36</v>
      </c>
      <c r="C214" s="2">
        <v>9243</v>
      </c>
      <c r="D214">
        <f>VLOOKUP(表1_[[#This Row],[地区]],Sheet2!A:B,2,0)</f>
        <v>500000</v>
      </c>
      <c r="E214">
        <f>表1_[[#This Row],[年份]]+表1_[[#This Row],[行政区划]]</f>
        <v>502016</v>
      </c>
    </row>
    <row r="215" spans="1:5" x14ac:dyDescent="0.4">
      <c r="A215" t="s">
        <v>21</v>
      </c>
      <c r="B215" t="s">
        <v>37</v>
      </c>
      <c r="C215" s="2">
        <v>11227</v>
      </c>
      <c r="D215">
        <f>VLOOKUP(表1_[[#This Row],[地区]],Sheet2!A:B,2,0)</f>
        <v>500000</v>
      </c>
      <c r="E215">
        <f>表1_[[#This Row],[年份]]+表1_[[#This Row],[行政区划]]</f>
        <v>502017</v>
      </c>
    </row>
    <row r="216" spans="1:5" x14ac:dyDescent="0.4">
      <c r="A216" t="s">
        <v>21</v>
      </c>
      <c r="B216" t="s">
        <v>38</v>
      </c>
      <c r="C216" s="2">
        <v>12812</v>
      </c>
      <c r="D216">
        <f>VLOOKUP(表1_[[#This Row],[地区]],Sheet2!A:B,2,0)</f>
        <v>500000</v>
      </c>
      <c r="E216">
        <f>表1_[[#This Row],[年份]]+表1_[[#This Row],[行政区划]]</f>
        <v>502018</v>
      </c>
    </row>
    <row r="217" spans="1:5" x14ac:dyDescent="0.4">
      <c r="A217" t="s">
        <v>21</v>
      </c>
      <c r="B217" t="s">
        <v>39</v>
      </c>
      <c r="C217" s="2">
        <v>14274</v>
      </c>
      <c r="D217">
        <f>VLOOKUP(表1_[[#This Row],[地区]],Sheet2!A:B,2,0)</f>
        <v>500000</v>
      </c>
      <c r="E217">
        <f>表1_[[#This Row],[年份]]+表1_[[#This Row],[行政区划]]</f>
        <v>502019</v>
      </c>
    </row>
    <row r="218" spans="1:5" x14ac:dyDescent="0.4">
      <c r="A218" t="s">
        <v>21</v>
      </c>
      <c r="B218" t="s">
        <v>40</v>
      </c>
      <c r="C218" s="2">
        <v>16907</v>
      </c>
      <c r="D218">
        <f>VLOOKUP(表1_[[#This Row],[地区]],Sheet2!A:B,2,0)</f>
        <v>500000</v>
      </c>
      <c r="E218">
        <f>表1_[[#This Row],[年份]]+表1_[[#This Row],[行政区划]]</f>
        <v>502020</v>
      </c>
    </row>
    <row r="219" spans="1:5" x14ac:dyDescent="0.4">
      <c r="A219" t="s">
        <v>21</v>
      </c>
      <c r="B219" t="s">
        <v>41</v>
      </c>
      <c r="C219" s="2">
        <v>19752</v>
      </c>
      <c r="D219">
        <f>VLOOKUP(表1_[[#This Row],[地区]],Sheet2!A:B,2,0)</f>
        <v>500000</v>
      </c>
      <c r="E219">
        <f>表1_[[#This Row],[年份]]+表1_[[#This Row],[行政区划]]</f>
        <v>502021</v>
      </c>
    </row>
    <row r="220" spans="1:5" x14ac:dyDescent="0.4">
      <c r="A220" t="s">
        <v>21</v>
      </c>
      <c r="B220" t="s">
        <v>42</v>
      </c>
      <c r="C220" s="2">
        <v>22057</v>
      </c>
      <c r="D220">
        <f>VLOOKUP(表1_[[#This Row],[地区]],Sheet2!A:B,2,0)</f>
        <v>500000</v>
      </c>
      <c r="E220">
        <f>表1_[[#This Row],[年份]]+表1_[[#This Row],[行政区划]]</f>
        <v>502022</v>
      </c>
    </row>
    <row r="221" spans="1:5" x14ac:dyDescent="0.4">
      <c r="A221" t="s">
        <v>21</v>
      </c>
      <c r="B221" t="s">
        <v>43</v>
      </c>
      <c r="C221" s="2">
        <v>23069</v>
      </c>
      <c r="D221">
        <f>VLOOKUP(表1_[[#This Row],[地区]],Sheet2!A:B,2,0)</f>
        <v>500000</v>
      </c>
      <c r="E221">
        <f>表1_[[#This Row],[年份]]+表1_[[#This Row],[行政区划]]</f>
        <v>502023</v>
      </c>
    </row>
    <row r="222" spans="1:5" x14ac:dyDescent="0.4">
      <c r="A222" t="s">
        <v>22</v>
      </c>
      <c r="B222" t="s">
        <v>34</v>
      </c>
      <c r="C222" s="2">
        <v>13374</v>
      </c>
      <c r="D222">
        <f>VLOOKUP(表1_[[#This Row],[地区]],Sheet2!A:B,2,0)</f>
        <v>510000</v>
      </c>
      <c r="E222">
        <f>表1_[[#This Row],[年份]]+表1_[[#This Row],[行政区划]]</f>
        <v>512014</v>
      </c>
    </row>
    <row r="223" spans="1:5" x14ac:dyDescent="0.4">
      <c r="A223" t="s">
        <v>22</v>
      </c>
      <c r="B223" t="s">
        <v>35</v>
      </c>
      <c r="C223" s="2">
        <v>6971</v>
      </c>
      <c r="D223">
        <f>VLOOKUP(表1_[[#This Row],[地区]],Sheet2!A:B,2,0)</f>
        <v>510000</v>
      </c>
      <c r="E223">
        <f>表1_[[#This Row],[年份]]+表1_[[#This Row],[行政区划]]</f>
        <v>512015</v>
      </c>
    </row>
    <row r="224" spans="1:5" x14ac:dyDescent="0.4">
      <c r="A224" t="s">
        <v>22</v>
      </c>
      <c r="B224" t="s">
        <v>36</v>
      </c>
      <c r="C224" s="2">
        <v>8846</v>
      </c>
      <c r="D224">
        <f>VLOOKUP(表1_[[#This Row],[地区]],Sheet2!A:B,2,0)</f>
        <v>510000</v>
      </c>
      <c r="E224">
        <f>表1_[[#This Row],[年份]]+表1_[[#This Row],[行政区划]]</f>
        <v>512016</v>
      </c>
    </row>
    <row r="225" spans="1:5" x14ac:dyDescent="0.4">
      <c r="A225" t="s">
        <v>22</v>
      </c>
      <c r="B225" t="s">
        <v>37</v>
      </c>
      <c r="C225" s="2">
        <v>11583</v>
      </c>
      <c r="D225">
        <f>VLOOKUP(表1_[[#This Row],[地区]],Sheet2!A:B,2,0)</f>
        <v>510000</v>
      </c>
      <c r="E225">
        <f>表1_[[#This Row],[年份]]+表1_[[#This Row],[行政区划]]</f>
        <v>512017</v>
      </c>
    </row>
    <row r="226" spans="1:5" x14ac:dyDescent="0.4">
      <c r="A226" t="s">
        <v>22</v>
      </c>
      <c r="B226" t="s">
        <v>38</v>
      </c>
      <c r="C226" s="2">
        <v>13962</v>
      </c>
      <c r="D226">
        <f>VLOOKUP(表1_[[#This Row],[地区]],Sheet2!A:B,2,0)</f>
        <v>510000</v>
      </c>
      <c r="E226">
        <f>表1_[[#This Row],[年份]]+表1_[[#This Row],[行政区划]]</f>
        <v>512018</v>
      </c>
    </row>
    <row r="227" spans="1:5" x14ac:dyDescent="0.4">
      <c r="A227" t="s">
        <v>22</v>
      </c>
      <c r="B227" t="s">
        <v>39</v>
      </c>
      <c r="C227" s="2">
        <v>17648</v>
      </c>
      <c r="D227">
        <f>VLOOKUP(表1_[[#This Row],[地区]],Sheet2!A:B,2,0)</f>
        <v>510000</v>
      </c>
      <c r="E227">
        <f>表1_[[#This Row],[年份]]+表1_[[#This Row],[行政区划]]</f>
        <v>512019</v>
      </c>
    </row>
    <row r="228" spans="1:5" x14ac:dyDescent="0.4">
      <c r="A228" t="s">
        <v>22</v>
      </c>
      <c r="B228" t="s">
        <v>40</v>
      </c>
      <c r="C228" s="2">
        <v>22133</v>
      </c>
      <c r="D228">
        <f>VLOOKUP(表1_[[#This Row],[地区]],Sheet2!A:B,2,0)</f>
        <v>510000</v>
      </c>
      <c r="E228">
        <f>表1_[[#This Row],[年份]]+表1_[[#This Row],[行政区划]]</f>
        <v>512020</v>
      </c>
    </row>
    <row r="229" spans="1:5" x14ac:dyDescent="0.4">
      <c r="A229" t="s">
        <v>22</v>
      </c>
      <c r="B229" t="s">
        <v>41</v>
      </c>
      <c r="C229" s="2">
        <v>26218</v>
      </c>
      <c r="D229">
        <f>VLOOKUP(表1_[[#This Row],[地区]],Sheet2!A:B,2,0)</f>
        <v>510000</v>
      </c>
      <c r="E229">
        <f>表1_[[#This Row],[年份]]+表1_[[#This Row],[行政区划]]</f>
        <v>512021</v>
      </c>
    </row>
    <row r="230" spans="1:5" x14ac:dyDescent="0.4">
      <c r="A230" t="s">
        <v>22</v>
      </c>
      <c r="B230" t="s">
        <v>42</v>
      </c>
      <c r="C230" s="2">
        <v>28673</v>
      </c>
      <c r="D230">
        <f>VLOOKUP(表1_[[#This Row],[地区]],Sheet2!A:B,2,0)</f>
        <v>510000</v>
      </c>
      <c r="E230">
        <f>表1_[[#This Row],[年份]]+表1_[[#This Row],[行政区划]]</f>
        <v>512022</v>
      </c>
    </row>
    <row r="231" spans="1:5" x14ac:dyDescent="0.4">
      <c r="A231" t="s">
        <v>22</v>
      </c>
      <c r="B231" t="s">
        <v>43</v>
      </c>
      <c r="C231" s="2">
        <v>32723</v>
      </c>
      <c r="D231">
        <f>VLOOKUP(表1_[[#This Row],[地区]],Sheet2!A:B,2,0)</f>
        <v>510000</v>
      </c>
      <c r="E231">
        <f>表1_[[#This Row],[年份]]+表1_[[#This Row],[行政区划]]</f>
        <v>512023</v>
      </c>
    </row>
    <row r="232" spans="1:5" x14ac:dyDescent="0.4">
      <c r="A232" t="s">
        <v>23</v>
      </c>
      <c r="B232" t="s">
        <v>34</v>
      </c>
      <c r="C232" s="2">
        <v>1802</v>
      </c>
      <c r="D232">
        <f>VLOOKUP(表1_[[#This Row],[地区]],Sheet2!A:B,2,0)</f>
        <v>520000</v>
      </c>
      <c r="E232">
        <f>表1_[[#This Row],[年份]]+表1_[[#This Row],[行政区划]]</f>
        <v>522014</v>
      </c>
    </row>
    <row r="233" spans="1:5" x14ac:dyDescent="0.4">
      <c r="A233" t="s">
        <v>23</v>
      </c>
      <c r="B233" t="s">
        <v>35</v>
      </c>
      <c r="C233" s="2">
        <v>1623</v>
      </c>
      <c r="D233">
        <f>VLOOKUP(表1_[[#This Row],[地区]],Sheet2!A:B,2,0)</f>
        <v>520000</v>
      </c>
      <c r="E233">
        <f>表1_[[#This Row],[年份]]+表1_[[#This Row],[行政区划]]</f>
        <v>522015</v>
      </c>
    </row>
    <row r="234" spans="1:5" x14ac:dyDescent="0.4">
      <c r="A234" t="s">
        <v>23</v>
      </c>
      <c r="B234" t="s">
        <v>36</v>
      </c>
      <c r="C234" s="2">
        <v>2231</v>
      </c>
      <c r="D234">
        <f>VLOOKUP(表1_[[#This Row],[地区]],Sheet2!A:B,2,0)</f>
        <v>520000</v>
      </c>
      <c r="E234">
        <f>表1_[[#This Row],[年份]]+表1_[[#This Row],[行政区划]]</f>
        <v>522016</v>
      </c>
    </row>
    <row r="235" spans="1:5" x14ac:dyDescent="0.4">
      <c r="A235" t="s">
        <v>23</v>
      </c>
      <c r="B235" t="s">
        <v>37</v>
      </c>
      <c r="C235" s="2">
        <v>2537</v>
      </c>
      <c r="D235">
        <f>VLOOKUP(表1_[[#This Row],[地区]],Sheet2!A:B,2,0)</f>
        <v>520000</v>
      </c>
      <c r="E235">
        <f>表1_[[#This Row],[年份]]+表1_[[#This Row],[行政区划]]</f>
        <v>522017</v>
      </c>
    </row>
    <row r="236" spans="1:5" x14ac:dyDescent="0.4">
      <c r="A236" t="s">
        <v>23</v>
      </c>
      <c r="B236" t="s">
        <v>38</v>
      </c>
      <c r="C236" s="2">
        <v>3102</v>
      </c>
      <c r="D236">
        <f>VLOOKUP(表1_[[#This Row],[地区]],Sheet2!A:B,2,0)</f>
        <v>520000</v>
      </c>
      <c r="E236">
        <f>表1_[[#This Row],[年份]]+表1_[[#This Row],[行政区划]]</f>
        <v>522018</v>
      </c>
    </row>
    <row r="237" spans="1:5" x14ac:dyDescent="0.4">
      <c r="A237" t="s">
        <v>23</v>
      </c>
      <c r="B237" t="s">
        <v>39</v>
      </c>
      <c r="C237" s="2">
        <v>4235</v>
      </c>
      <c r="D237">
        <f>VLOOKUP(表1_[[#This Row],[地区]],Sheet2!A:B,2,0)</f>
        <v>520000</v>
      </c>
      <c r="E237">
        <f>表1_[[#This Row],[年份]]+表1_[[#This Row],[行政区划]]</f>
        <v>522019</v>
      </c>
    </row>
    <row r="238" spans="1:5" x14ac:dyDescent="0.4">
      <c r="A238" t="s">
        <v>23</v>
      </c>
      <c r="B238" t="s">
        <v>40</v>
      </c>
      <c r="C238" s="2">
        <v>4993</v>
      </c>
      <c r="D238">
        <f>VLOOKUP(表1_[[#This Row],[地区]],Sheet2!A:B,2,0)</f>
        <v>520000</v>
      </c>
      <c r="E238">
        <f>表1_[[#This Row],[年份]]+表1_[[#This Row],[行政区划]]</f>
        <v>522020</v>
      </c>
    </row>
    <row r="239" spans="1:5" x14ac:dyDescent="0.4">
      <c r="A239" t="s">
        <v>23</v>
      </c>
      <c r="B239" t="s">
        <v>41</v>
      </c>
      <c r="C239" s="2">
        <v>5381</v>
      </c>
      <c r="D239">
        <f>VLOOKUP(表1_[[#This Row],[地区]],Sheet2!A:B,2,0)</f>
        <v>520000</v>
      </c>
      <c r="E239">
        <f>表1_[[#This Row],[年份]]+表1_[[#This Row],[行政区划]]</f>
        <v>522021</v>
      </c>
    </row>
    <row r="240" spans="1:5" x14ac:dyDescent="0.4">
      <c r="A240" t="s">
        <v>23</v>
      </c>
      <c r="B240" t="s">
        <v>42</v>
      </c>
      <c r="C240" s="2">
        <v>5805</v>
      </c>
      <c r="D240">
        <f>VLOOKUP(表1_[[#This Row],[地区]],Sheet2!A:B,2,0)</f>
        <v>520000</v>
      </c>
      <c r="E240">
        <f>表1_[[#This Row],[年份]]+表1_[[#This Row],[行政区划]]</f>
        <v>522022</v>
      </c>
    </row>
    <row r="241" spans="1:5" x14ac:dyDescent="0.4">
      <c r="A241" t="s">
        <v>23</v>
      </c>
      <c r="B241" t="s">
        <v>43</v>
      </c>
      <c r="C241" s="2">
        <v>5920</v>
      </c>
      <c r="D241">
        <f>VLOOKUP(表1_[[#This Row],[地区]],Sheet2!A:B,2,0)</f>
        <v>520000</v>
      </c>
      <c r="E241">
        <f>表1_[[#This Row],[年份]]+表1_[[#This Row],[行政区划]]</f>
        <v>522023</v>
      </c>
    </row>
    <row r="242" spans="1:5" x14ac:dyDescent="0.4">
      <c r="A242" t="s">
        <v>24</v>
      </c>
      <c r="B242" t="s">
        <v>34</v>
      </c>
      <c r="C242" s="2">
        <v>2123</v>
      </c>
      <c r="D242">
        <f>VLOOKUP(表1_[[#This Row],[地区]],Sheet2!A:B,2,0)</f>
        <v>530000</v>
      </c>
      <c r="E242">
        <f>表1_[[#This Row],[年份]]+表1_[[#This Row],[行政区划]]</f>
        <v>532014</v>
      </c>
    </row>
    <row r="243" spans="1:5" x14ac:dyDescent="0.4">
      <c r="A243" t="s">
        <v>24</v>
      </c>
      <c r="B243" t="s">
        <v>35</v>
      </c>
      <c r="C243" s="2">
        <v>2503</v>
      </c>
      <c r="D243">
        <f>VLOOKUP(表1_[[#This Row],[地区]],Sheet2!A:B,2,0)</f>
        <v>530000</v>
      </c>
      <c r="E243">
        <f>表1_[[#This Row],[年份]]+表1_[[#This Row],[行政区划]]</f>
        <v>532015</v>
      </c>
    </row>
    <row r="244" spans="1:5" x14ac:dyDescent="0.4">
      <c r="A244" t="s">
        <v>24</v>
      </c>
      <c r="B244" t="s">
        <v>36</v>
      </c>
      <c r="C244" s="2">
        <v>3834</v>
      </c>
      <c r="D244">
        <f>VLOOKUP(表1_[[#This Row],[地区]],Sheet2!A:B,2,0)</f>
        <v>530000</v>
      </c>
      <c r="E244">
        <f>表1_[[#This Row],[年份]]+表1_[[#This Row],[行政区划]]</f>
        <v>532016</v>
      </c>
    </row>
    <row r="245" spans="1:5" x14ac:dyDescent="0.4">
      <c r="A245" t="s">
        <v>24</v>
      </c>
      <c r="B245" t="s">
        <v>37</v>
      </c>
      <c r="C245" s="2">
        <v>4208</v>
      </c>
      <c r="D245">
        <f>VLOOKUP(表1_[[#This Row],[地区]],Sheet2!A:B,2,0)</f>
        <v>530000</v>
      </c>
      <c r="E245">
        <f>表1_[[#This Row],[年份]]+表1_[[#This Row],[行政区划]]</f>
        <v>532017</v>
      </c>
    </row>
    <row r="246" spans="1:5" x14ac:dyDescent="0.4">
      <c r="A246" t="s">
        <v>24</v>
      </c>
      <c r="B246" t="s">
        <v>38</v>
      </c>
      <c r="C246" s="2">
        <v>4150</v>
      </c>
      <c r="D246">
        <f>VLOOKUP(表1_[[#This Row],[地区]],Sheet2!A:B,2,0)</f>
        <v>530000</v>
      </c>
      <c r="E246">
        <f>表1_[[#This Row],[年份]]+表1_[[#This Row],[行政区划]]</f>
        <v>532018</v>
      </c>
    </row>
    <row r="247" spans="1:5" x14ac:dyDescent="0.4">
      <c r="A247" t="s">
        <v>24</v>
      </c>
      <c r="B247" t="s">
        <v>39</v>
      </c>
      <c r="C247" s="2">
        <v>5661</v>
      </c>
      <c r="D247">
        <f>VLOOKUP(表1_[[#This Row],[地区]],Sheet2!A:B,2,0)</f>
        <v>530000</v>
      </c>
      <c r="E247">
        <f>表1_[[#This Row],[年份]]+表1_[[#This Row],[行政区划]]</f>
        <v>532019</v>
      </c>
    </row>
    <row r="248" spans="1:5" x14ac:dyDescent="0.4">
      <c r="A248" t="s">
        <v>24</v>
      </c>
      <c r="B248" t="s">
        <v>40</v>
      </c>
      <c r="C248" s="2">
        <v>5532</v>
      </c>
      <c r="D248">
        <f>VLOOKUP(表1_[[#This Row],[地区]],Sheet2!A:B,2,0)</f>
        <v>530000</v>
      </c>
      <c r="E248">
        <f>表1_[[#This Row],[年份]]+表1_[[#This Row],[行政区划]]</f>
        <v>532020</v>
      </c>
    </row>
    <row r="249" spans="1:5" x14ac:dyDescent="0.4">
      <c r="A249" t="s">
        <v>24</v>
      </c>
      <c r="B249" t="s">
        <v>41</v>
      </c>
      <c r="C249" s="2">
        <v>5801</v>
      </c>
      <c r="D249">
        <f>VLOOKUP(表1_[[#This Row],[地区]],Sheet2!A:B,2,0)</f>
        <v>530000</v>
      </c>
      <c r="E249">
        <f>表1_[[#This Row],[年份]]+表1_[[#This Row],[行政区划]]</f>
        <v>532021</v>
      </c>
    </row>
    <row r="250" spans="1:5" x14ac:dyDescent="0.4">
      <c r="A250" t="s">
        <v>24</v>
      </c>
      <c r="B250" t="s">
        <v>42</v>
      </c>
      <c r="C250" s="2">
        <v>6498</v>
      </c>
      <c r="D250">
        <f>VLOOKUP(表1_[[#This Row],[地区]],Sheet2!A:B,2,0)</f>
        <v>530000</v>
      </c>
      <c r="E250">
        <f>表1_[[#This Row],[年份]]+表1_[[#This Row],[行政区划]]</f>
        <v>532022</v>
      </c>
    </row>
    <row r="251" spans="1:5" x14ac:dyDescent="0.4">
      <c r="A251" t="s">
        <v>24</v>
      </c>
      <c r="B251" t="s">
        <v>43</v>
      </c>
      <c r="C251" s="2">
        <v>7108</v>
      </c>
      <c r="D251">
        <f>VLOOKUP(表1_[[#This Row],[地区]],Sheet2!A:B,2,0)</f>
        <v>530000</v>
      </c>
      <c r="E251">
        <f>表1_[[#This Row],[年份]]+表1_[[#This Row],[行政区划]]</f>
        <v>532023</v>
      </c>
    </row>
    <row r="252" spans="1:5" x14ac:dyDescent="0.4">
      <c r="A252" t="s">
        <v>25</v>
      </c>
      <c r="B252" t="s">
        <v>34</v>
      </c>
      <c r="C252" s="2">
        <v>6684</v>
      </c>
      <c r="D252">
        <f>VLOOKUP(表1_[[#This Row],[地区]],Sheet2!A:B,2,0)</f>
        <v>610000</v>
      </c>
      <c r="E252">
        <f>表1_[[#This Row],[年份]]+表1_[[#This Row],[行政区划]]</f>
        <v>612014</v>
      </c>
    </row>
    <row r="253" spans="1:5" x14ac:dyDescent="0.4">
      <c r="A253" t="s">
        <v>25</v>
      </c>
      <c r="B253" t="s">
        <v>35</v>
      </c>
      <c r="C253" s="2">
        <v>4434</v>
      </c>
      <c r="D253">
        <f>VLOOKUP(表1_[[#This Row],[地区]],Sheet2!A:B,2,0)</f>
        <v>610000</v>
      </c>
      <c r="E253">
        <f>表1_[[#This Row],[年份]]+表1_[[#This Row],[行政区划]]</f>
        <v>612015</v>
      </c>
    </row>
    <row r="254" spans="1:5" x14ac:dyDescent="0.4">
      <c r="A254" t="s">
        <v>25</v>
      </c>
      <c r="B254" t="s">
        <v>36</v>
      </c>
      <c r="C254" s="2">
        <v>4506</v>
      </c>
      <c r="D254">
        <f>VLOOKUP(表1_[[#This Row],[地区]],Sheet2!A:B,2,0)</f>
        <v>610000</v>
      </c>
      <c r="E254">
        <f>表1_[[#This Row],[年份]]+表1_[[#This Row],[行政区划]]</f>
        <v>612016</v>
      </c>
    </row>
    <row r="255" spans="1:5" x14ac:dyDescent="0.4">
      <c r="A255" t="s">
        <v>25</v>
      </c>
      <c r="B255" t="s">
        <v>37</v>
      </c>
      <c r="C255" s="2">
        <v>5093</v>
      </c>
      <c r="D255">
        <f>VLOOKUP(表1_[[#This Row],[地区]],Sheet2!A:B,2,0)</f>
        <v>610000</v>
      </c>
      <c r="E255">
        <f>表1_[[#This Row],[年份]]+表1_[[#This Row],[行政区划]]</f>
        <v>612017</v>
      </c>
    </row>
    <row r="256" spans="1:5" x14ac:dyDescent="0.4">
      <c r="A256" t="s">
        <v>25</v>
      </c>
      <c r="B256" t="s">
        <v>38</v>
      </c>
      <c r="C256" s="2">
        <v>6103</v>
      </c>
      <c r="D256">
        <f>VLOOKUP(表1_[[#This Row],[地区]],Sheet2!A:B,2,0)</f>
        <v>610000</v>
      </c>
      <c r="E256">
        <f>表1_[[#This Row],[年份]]+表1_[[#This Row],[行政区划]]</f>
        <v>612018</v>
      </c>
    </row>
    <row r="257" spans="1:5" x14ac:dyDescent="0.4">
      <c r="A257" t="s">
        <v>25</v>
      </c>
      <c r="B257" t="s">
        <v>39</v>
      </c>
      <c r="C257" s="2">
        <v>7595</v>
      </c>
      <c r="D257">
        <f>VLOOKUP(表1_[[#This Row],[地区]],Sheet2!A:B,2,0)</f>
        <v>610000</v>
      </c>
      <c r="E257">
        <f>表1_[[#This Row],[年份]]+表1_[[#This Row],[行政区划]]</f>
        <v>612019</v>
      </c>
    </row>
    <row r="258" spans="1:5" x14ac:dyDescent="0.4">
      <c r="A258" t="s">
        <v>25</v>
      </c>
      <c r="B258" t="s">
        <v>40</v>
      </c>
      <c r="C258" s="2">
        <v>9810</v>
      </c>
      <c r="D258">
        <f>VLOOKUP(表1_[[#This Row],[地区]],Sheet2!A:B,2,0)</f>
        <v>610000</v>
      </c>
      <c r="E258">
        <f>表1_[[#This Row],[年份]]+表1_[[#This Row],[行政区划]]</f>
        <v>612020</v>
      </c>
    </row>
    <row r="259" spans="1:5" x14ac:dyDescent="0.4">
      <c r="A259" t="s">
        <v>25</v>
      </c>
      <c r="B259" t="s">
        <v>41</v>
      </c>
      <c r="C259" s="2">
        <v>11553</v>
      </c>
      <c r="D259">
        <f>VLOOKUP(表1_[[#This Row],[地区]],Sheet2!A:B,2,0)</f>
        <v>610000</v>
      </c>
      <c r="E259">
        <f>表1_[[#This Row],[年份]]+表1_[[#This Row],[行政区划]]</f>
        <v>612021</v>
      </c>
    </row>
    <row r="260" spans="1:5" x14ac:dyDescent="0.4">
      <c r="A260" t="s">
        <v>25</v>
      </c>
      <c r="B260" t="s">
        <v>42</v>
      </c>
      <c r="C260" s="2">
        <v>13423</v>
      </c>
      <c r="D260">
        <f>VLOOKUP(表1_[[#This Row],[地区]],Sheet2!A:B,2,0)</f>
        <v>610000</v>
      </c>
      <c r="E260">
        <f>表1_[[#This Row],[年份]]+表1_[[#This Row],[行政区划]]</f>
        <v>612022</v>
      </c>
    </row>
    <row r="261" spans="1:5" x14ac:dyDescent="0.4">
      <c r="A261" t="s">
        <v>25</v>
      </c>
      <c r="B261" t="s">
        <v>43</v>
      </c>
      <c r="C261" s="2">
        <v>16419</v>
      </c>
      <c r="D261">
        <f>VLOOKUP(表1_[[#This Row],[地区]],Sheet2!A:B,2,0)</f>
        <v>610000</v>
      </c>
      <c r="E261">
        <f>表1_[[#This Row],[年份]]+表1_[[#This Row],[行政区划]]</f>
        <v>612023</v>
      </c>
    </row>
    <row r="262" spans="1:5" x14ac:dyDescent="0.4">
      <c r="A262" t="s">
        <v>26</v>
      </c>
      <c r="B262" t="s">
        <v>34</v>
      </c>
      <c r="C262" s="2">
        <v>1817</v>
      </c>
      <c r="D262">
        <f>VLOOKUP(表1_[[#This Row],[地区]],Sheet2!A:B,2,0)</f>
        <v>620000</v>
      </c>
      <c r="E262">
        <f>表1_[[#This Row],[年份]]+表1_[[#This Row],[行政区划]]</f>
        <v>622014</v>
      </c>
    </row>
    <row r="263" spans="1:5" x14ac:dyDescent="0.4">
      <c r="A263" t="s">
        <v>26</v>
      </c>
      <c r="B263" t="s">
        <v>35</v>
      </c>
      <c r="C263" s="2">
        <v>1291</v>
      </c>
      <c r="D263">
        <f>VLOOKUP(表1_[[#This Row],[地区]],Sheet2!A:B,2,0)</f>
        <v>620000</v>
      </c>
      <c r="E263">
        <f>表1_[[#This Row],[年份]]+表1_[[#This Row],[行政区划]]</f>
        <v>622015</v>
      </c>
    </row>
    <row r="264" spans="1:5" x14ac:dyDescent="0.4">
      <c r="A264" t="s">
        <v>26</v>
      </c>
      <c r="B264" t="s">
        <v>36</v>
      </c>
      <c r="C264" s="2">
        <v>1222</v>
      </c>
      <c r="D264">
        <f>VLOOKUP(表1_[[#This Row],[地区]],Sheet2!A:B,2,0)</f>
        <v>620000</v>
      </c>
      <c r="E264">
        <f>表1_[[#This Row],[年份]]+表1_[[#This Row],[行政区划]]</f>
        <v>622016</v>
      </c>
    </row>
    <row r="265" spans="1:5" x14ac:dyDescent="0.4">
      <c r="A265" t="s">
        <v>26</v>
      </c>
      <c r="B265" t="s">
        <v>37</v>
      </c>
      <c r="C265" s="2">
        <v>1209</v>
      </c>
      <c r="D265">
        <f>VLOOKUP(表1_[[#This Row],[地区]],Sheet2!A:B,2,0)</f>
        <v>620000</v>
      </c>
      <c r="E265">
        <f>表1_[[#This Row],[年份]]+表1_[[#This Row],[行政区划]]</f>
        <v>622017</v>
      </c>
    </row>
    <row r="266" spans="1:5" x14ac:dyDescent="0.4">
      <c r="A266" t="s">
        <v>26</v>
      </c>
      <c r="B266" t="s">
        <v>38</v>
      </c>
      <c r="C266" s="2">
        <v>1279</v>
      </c>
      <c r="D266">
        <f>VLOOKUP(表1_[[#This Row],[地区]],Sheet2!A:B,2,0)</f>
        <v>620000</v>
      </c>
      <c r="E266">
        <f>表1_[[#This Row],[年份]]+表1_[[#This Row],[行政区划]]</f>
        <v>622018</v>
      </c>
    </row>
    <row r="267" spans="1:5" x14ac:dyDescent="0.4">
      <c r="A267" t="s">
        <v>26</v>
      </c>
      <c r="B267" t="s">
        <v>39</v>
      </c>
      <c r="C267" s="2">
        <v>1458</v>
      </c>
      <c r="D267">
        <f>VLOOKUP(表1_[[#This Row],[地区]],Sheet2!A:B,2,0)</f>
        <v>620000</v>
      </c>
      <c r="E267">
        <f>表1_[[#This Row],[年份]]+表1_[[#This Row],[行政区划]]</f>
        <v>622019</v>
      </c>
    </row>
    <row r="268" spans="1:5" x14ac:dyDescent="0.4">
      <c r="A268" t="s">
        <v>26</v>
      </c>
      <c r="B268" t="s">
        <v>40</v>
      </c>
      <c r="C268" s="2">
        <v>1565</v>
      </c>
      <c r="D268">
        <f>VLOOKUP(表1_[[#This Row],[地区]],Sheet2!A:B,2,0)</f>
        <v>620000</v>
      </c>
      <c r="E268">
        <f>表1_[[#This Row],[年份]]+表1_[[#This Row],[行政区划]]</f>
        <v>622020</v>
      </c>
    </row>
    <row r="269" spans="1:5" x14ac:dyDescent="0.4">
      <c r="A269" t="s">
        <v>26</v>
      </c>
      <c r="B269" t="s">
        <v>41</v>
      </c>
      <c r="C269" s="2">
        <v>2039</v>
      </c>
      <c r="D269">
        <f>VLOOKUP(表1_[[#This Row],[地区]],Sheet2!A:B,2,0)</f>
        <v>620000</v>
      </c>
      <c r="E269">
        <f>表1_[[#This Row],[年份]]+表1_[[#This Row],[行政区划]]</f>
        <v>622021</v>
      </c>
    </row>
    <row r="270" spans="1:5" x14ac:dyDescent="0.4">
      <c r="A270" t="s">
        <v>26</v>
      </c>
      <c r="B270" t="s">
        <v>42</v>
      </c>
      <c r="C270" s="2">
        <v>2520</v>
      </c>
      <c r="D270">
        <f>VLOOKUP(表1_[[#This Row],[地区]],Sheet2!A:B,2,0)</f>
        <v>620000</v>
      </c>
      <c r="E270">
        <f>表1_[[#This Row],[年份]]+表1_[[#This Row],[行政区划]]</f>
        <v>622022</v>
      </c>
    </row>
    <row r="271" spans="1:5" x14ac:dyDescent="0.4">
      <c r="A271" t="s">
        <v>26</v>
      </c>
      <c r="B271" t="s">
        <v>43</v>
      </c>
      <c r="C271" s="2">
        <v>2830</v>
      </c>
      <c r="D271">
        <f>VLOOKUP(表1_[[#This Row],[地区]],Sheet2!A:B,2,0)</f>
        <v>620000</v>
      </c>
      <c r="E271">
        <f>表1_[[#This Row],[年份]]+表1_[[#This Row],[行政区划]]</f>
        <v>622023</v>
      </c>
    </row>
    <row r="272" spans="1:5" x14ac:dyDescent="0.4">
      <c r="A272" t="s">
        <v>27</v>
      </c>
      <c r="B272" t="s">
        <v>34</v>
      </c>
      <c r="C272" s="2">
        <v>130</v>
      </c>
      <c r="D272">
        <f>VLOOKUP(表1_[[#This Row],[地区]],Sheet2!A:B,2,0)</f>
        <v>630000</v>
      </c>
      <c r="E272">
        <f>表1_[[#This Row],[年份]]+表1_[[#This Row],[行政区划]]</f>
        <v>632014</v>
      </c>
    </row>
    <row r="273" spans="1:5" x14ac:dyDescent="0.4">
      <c r="A273" t="s">
        <v>27</v>
      </c>
      <c r="B273" t="s">
        <v>35</v>
      </c>
      <c r="C273" s="2">
        <v>121</v>
      </c>
      <c r="D273">
        <f>VLOOKUP(表1_[[#This Row],[地区]],Sheet2!A:B,2,0)</f>
        <v>630000</v>
      </c>
      <c r="E273">
        <f>表1_[[#This Row],[年份]]+表1_[[#This Row],[行政区划]]</f>
        <v>632015</v>
      </c>
    </row>
    <row r="274" spans="1:5" x14ac:dyDescent="0.4">
      <c r="A274" t="s">
        <v>27</v>
      </c>
      <c r="B274" t="s">
        <v>36</v>
      </c>
      <c r="C274" s="2">
        <v>126</v>
      </c>
      <c r="D274">
        <f>VLOOKUP(表1_[[#This Row],[地区]],Sheet2!A:B,2,0)</f>
        <v>630000</v>
      </c>
      <c r="E274">
        <f>表1_[[#This Row],[年份]]+表1_[[#This Row],[行政区划]]</f>
        <v>632016</v>
      </c>
    </row>
    <row r="275" spans="1:5" x14ac:dyDescent="0.4">
      <c r="A275" t="s">
        <v>27</v>
      </c>
      <c r="B275" t="s">
        <v>37</v>
      </c>
      <c r="C275" s="2">
        <v>369</v>
      </c>
      <c r="D275">
        <f>VLOOKUP(表1_[[#This Row],[地区]],Sheet2!A:B,2,0)</f>
        <v>630000</v>
      </c>
      <c r="E275">
        <f>表1_[[#This Row],[年份]]+表1_[[#This Row],[行政区划]]</f>
        <v>632017</v>
      </c>
    </row>
    <row r="276" spans="1:5" x14ac:dyDescent="0.4">
      <c r="A276" t="s">
        <v>27</v>
      </c>
      <c r="B276" t="s">
        <v>38</v>
      </c>
      <c r="C276" s="2">
        <v>195</v>
      </c>
      <c r="D276">
        <f>VLOOKUP(表1_[[#This Row],[地区]],Sheet2!A:B,2,0)</f>
        <v>630000</v>
      </c>
      <c r="E276">
        <f>表1_[[#This Row],[年份]]+表1_[[#This Row],[行政区划]]</f>
        <v>632018</v>
      </c>
    </row>
    <row r="277" spans="1:5" x14ac:dyDescent="0.4">
      <c r="A277" t="s">
        <v>27</v>
      </c>
      <c r="B277" t="s">
        <v>39</v>
      </c>
      <c r="C277" s="2">
        <v>259</v>
      </c>
      <c r="D277">
        <f>VLOOKUP(表1_[[#This Row],[地区]],Sheet2!A:B,2,0)</f>
        <v>630000</v>
      </c>
      <c r="E277">
        <f>表1_[[#This Row],[年份]]+表1_[[#This Row],[行政区划]]</f>
        <v>632019</v>
      </c>
    </row>
    <row r="278" spans="1:5" x14ac:dyDescent="0.4">
      <c r="A278" t="s">
        <v>27</v>
      </c>
      <c r="B278" t="s">
        <v>40</v>
      </c>
      <c r="C278" s="2">
        <v>308</v>
      </c>
      <c r="D278">
        <f>VLOOKUP(表1_[[#This Row],[地区]],Sheet2!A:B,2,0)</f>
        <v>630000</v>
      </c>
      <c r="E278">
        <f>表1_[[#This Row],[年份]]+表1_[[#This Row],[行政区划]]</f>
        <v>632020</v>
      </c>
    </row>
    <row r="279" spans="1:5" x14ac:dyDescent="0.4">
      <c r="A279" t="s">
        <v>27</v>
      </c>
      <c r="B279" t="s">
        <v>41</v>
      </c>
      <c r="C279" s="2">
        <v>387</v>
      </c>
      <c r="D279">
        <f>VLOOKUP(表1_[[#This Row],[地区]],Sheet2!A:B,2,0)</f>
        <v>630000</v>
      </c>
      <c r="E279">
        <f>表1_[[#This Row],[年份]]+表1_[[#This Row],[行政区划]]</f>
        <v>632021</v>
      </c>
    </row>
    <row r="280" spans="1:5" x14ac:dyDescent="0.4">
      <c r="A280" t="s">
        <v>27</v>
      </c>
      <c r="B280" t="s">
        <v>42</v>
      </c>
      <c r="C280" s="2">
        <v>327</v>
      </c>
      <c r="D280">
        <f>VLOOKUP(表1_[[#This Row],[地区]],Sheet2!A:B,2,0)</f>
        <v>630000</v>
      </c>
      <c r="E280">
        <f>表1_[[#This Row],[年份]]+表1_[[#This Row],[行政区划]]</f>
        <v>632022</v>
      </c>
    </row>
    <row r="281" spans="1:5" x14ac:dyDescent="0.4">
      <c r="A281" t="s">
        <v>27</v>
      </c>
      <c r="B281" t="s">
        <v>43</v>
      </c>
      <c r="C281" s="2">
        <v>364</v>
      </c>
      <c r="D281">
        <f>VLOOKUP(表1_[[#This Row],[地区]],Sheet2!A:B,2,0)</f>
        <v>630000</v>
      </c>
      <c r="E281">
        <f>表1_[[#This Row],[年份]]+表1_[[#This Row],[行政区划]]</f>
        <v>632023</v>
      </c>
    </row>
    <row r="282" spans="1:5" x14ac:dyDescent="0.4">
      <c r="A282" t="s">
        <v>28</v>
      </c>
      <c r="B282" t="s">
        <v>34</v>
      </c>
      <c r="C282" s="2">
        <v>1049</v>
      </c>
      <c r="D282">
        <f>VLOOKUP(表1_[[#This Row],[地区]],Sheet2!A:B,2,0)</f>
        <v>640000</v>
      </c>
      <c r="E282">
        <f>表1_[[#This Row],[年份]]+表1_[[#This Row],[行政区划]]</f>
        <v>642014</v>
      </c>
    </row>
    <row r="283" spans="1:5" x14ac:dyDescent="0.4">
      <c r="A283" t="s">
        <v>28</v>
      </c>
      <c r="B283" t="s">
        <v>35</v>
      </c>
      <c r="C283" s="2">
        <v>981</v>
      </c>
      <c r="D283">
        <f>VLOOKUP(表1_[[#This Row],[地区]],Sheet2!A:B,2,0)</f>
        <v>640000</v>
      </c>
      <c r="E283">
        <f>表1_[[#This Row],[年份]]+表1_[[#This Row],[行政区划]]</f>
        <v>642015</v>
      </c>
    </row>
    <row r="284" spans="1:5" x14ac:dyDescent="0.4">
      <c r="A284" t="s">
        <v>28</v>
      </c>
      <c r="B284" t="s">
        <v>36</v>
      </c>
      <c r="C284" s="2">
        <v>1102</v>
      </c>
      <c r="D284">
        <f>VLOOKUP(表1_[[#This Row],[地区]],Sheet2!A:B,2,0)</f>
        <v>640000</v>
      </c>
      <c r="E284">
        <f>表1_[[#This Row],[年份]]+表1_[[#This Row],[行政区划]]</f>
        <v>642016</v>
      </c>
    </row>
    <row r="285" spans="1:5" x14ac:dyDescent="0.4">
      <c r="A285" t="s">
        <v>28</v>
      </c>
      <c r="B285" t="s">
        <v>37</v>
      </c>
      <c r="C285" s="2">
        <v>1194</v>
      </c>
      <c r="D285">
        <f>VLOOKUP(表1_[[#This Row],[地区]],Sheet2!A:B,2,0)</f>
        <v>640000</v>
      </c>
      <c r="E285">
        <f>表1_[[#This Row],[年份]]+表1_[[#This Row],[行政区划]]</f>
        <v>642017</v>
      </c>
    </row>
    <row r="286" spans="1:5" x14ac:dyDescent="0.4">
      <c r="A286" t="s">
        <v>28</v>
      </c>
      <c r="B286" t="s">
        <v>38</v>
      </c>
      <c r="C286" s="2">
        <v>1350</v>
      </c>
      <c r="D286">
        <f>VLOOKUP(表1_[[#This Row],[地区]],Sheet2!A:B,2,0)</f>
        <v>640000</v>
      </c>
      <c r="E286">
        <f>表1_[[#This Row],[年份]]+表1_[[#This Row],[行政区划]]</f>
        <v>642018</v>
      </c>
    </row>
    <row r="287" spans="1:5" x14ac:dyDescent="0.4">
      <c r="A287" t="s">
        <v>28</v>
      </c>
      <c r="B287" t="s">
        <v>39</v>
      </c>
      <c r="C287" s="2">
        <v>1448</v>
      </c>
      <c r="D287">
        <f>VLOOKUP(表1_[[#This Row],[地区]],Sheet2!A:B,2,0)</f>
        <v>640000</v>
      </c>
      <c r="E287">
        <f>表1_[[#This Row],[年份]]+表1_[[#This Row],[行政区划]]</f>
        <v>642019</v>
      </c>
    </row>
    <row r="288" spans="1:5" x14ac:dyDescent="0.4">
      <c r="A288" t="s">
        <v>28</v>
      </c>
      <c r="B288" t="s">
        <v>40</v>
      </c>
      <c r="C288" s="2">
        <v>1777</v>
      </c>
      <c r="D288">
        <f>VLOOKUP(表1_[[#This Row],[地区]],Sheet2!A:B,2,0)</f>
        <v>640000</v>
      </c>
      <c r="E288">
        <f>表1_[[#This Row],[年份]]+表1_[[#This Row],[行政区划]]</f>
        <v>642020</v>
      </c>
    </row>
    <row r="289" spans="1:5" x14ac:dyDescent="0.4">
      <c r="A289" t="s">
        <v>28</v>
      </c>
      <c r="B289" t="s">
        <v>41</v>
      </c>
      <c r="C289" s="2">
        <v>2076</v>
      </c>
      <c r="D289">
        <f>VLOOKUP(表1_[[#This Row],[地区]],Sheet2!A:B,2,0)</f>
        <v>640000</v>
      </c>
      <c r="E289">
        <f>表1_[[#This Row],[年份]]+表1_[[#This Row],[行政区划]]</f>
        <v>642021</v>
      </c>
    </row>
    <row r="290" spans="1:5" x14ac:dyDescent="0.4">
      <c r="A290" t="s">
        <v>28</v>
      </c>
      <c r="B290" t="s">
        <v>42</v>
      </c>
      <c r="C290" s="2">
        <v>2347</v>
      </c>
      <c r="D290">
        <f>VLOOKUP(表1_[[#This Row],[地区]],Sheet2!A:B,2,0)</f>
        <v>640000</v>
      </c>
      <c r="E290">
        <f>表1_[[#This Row],[年份]]+表1_[[#This Row],[行政区划]]</f>
        <v>642022</v>
      </c>
    </row>
    <row r="291" spans="1:5" x14ac:dyDescent="0.4">
      <c r="A291" t="s">
        <v>28</v>
      </c>
      <c r="B291" t="s">
        <v>43</v>
      </c>
      <c r="C291" s="2">
        <v>2699</v>
      </c>
      <c r="D291">
        <f>VLOOKUP(表1_[[#This Row],[地区]],Sheet2!A:B,2,0)</f>
        <v>640000</v>
      </c>
      <c r="E291">
        <f>表1_[[#This Row],[年份]]+表1_[[#This Row],[行政区划]]</f>
        <v>642023</v>
      </c>
    </row>
    <row r="292" spans="1:5" x14ac:dyDescent="0.4">
      <c r="A292" t="s">
        <v>29</v>
      </c>
      <c r="B292" t="s">
        <v>34</v>
      </c>
      <c r="C292" s="2">
        <v>1025</v>
      </c>
      <c r="D292">
        <f>VLOOKUP(表1_[[#This Row],[地区]],Sheet2!A:B,2,0)</f>
        <v>650000</v>
      </c>
      <c r="E292">
        <f>表1_[[#This Row],[年份]]+表1_[[#This Row],[行政区划]]</f>
        <v>652014</v>
      </c>
    </row>
    <row r="293" spans="1:5" x14ac:dyDescent="0.4">
      <c r="A293" t="s">
        <v>29</v>
      </c>
      <c r="B293" t="s">
        <v>35</v>
      </c>
      <c r="C293" s="2">
        <v>924</v>
      </c>
      <c r="D293">
        <f>VLOOKUP(表1_[[#This Row],[地区]],Sheet2!A:B,2,0)</f>
        <v>650000</v>
      </c>
      <c r="E293">
        <f>表1_[[#This Row],[年份]]+表1_[[#This Row],[行政区划]]</f>
        <v>652015</v>
      </c>
    </row>
    <row r="294" spans="1:5" x14ac:dyDescent="0.4">
      <c r="A294" t="s">
        <v>29</v>
      </c>
      <c r="B294" t="s">
        <v>36</v>
      </c>
      <c r="C294" s="2">
        <v>1153</v>
      </c>
      <c r="D294">
        <f>VLOOKUP(表1_[[#This Row],[地区]],Sheet2!A:B,2,0)</f>
        <v>650000</v>
      </c>
      <c r="E294">
        <f>表1_[[#This Row],[年份]]+表1_[[#This Row],[行政区划]]</f>
        <v>652016</v>
      </c>
    </row>
    <row r="295" spans="1:5" x14ac:dyDescent="0.4">
      <c r="A295" t="s">
        <v>29</v>
      </c>
      <c r="B295" t="s">
        <v>37</v>
      </c>
      <c r="C295" s="2">
        <v>976</v>
      </c>
      <c r="D295">
        <f>VLOOKUP(表1_[[#This Row],[地区]],Sheet2!A:B,2,0)</f>
        <v>650000</v>
      </c>
      <c r="E295">
        <f>表1_[[#This Row],[年份]]+表1_[[#This Row],[行政区划]]</f>
        <v>652017</v>
      </c>
    </row>
    <row r="296" spans="1:5" x14ac:dyDescent="0.4">
      <c r="A296" t="s">
        <v>29</v>
      </c>
      <c r="B296" t="s">
        <v>38</v>
      </c>
      <c r="C296" s="2">
        <v>936</v>
      </c>
      <c r="D296">
        <f>VLOOKUP(表1_[[#This Row],[地区]],Sheet2!A:B,2,0)</f>
        <v>650000</v>
      </c>
      <c r="E296">
        <f>表1_[[#This Row],[年份]]+表1_[[#This Row],[行政区划]]</f>
        <v>652018</v>
      </c>
    </row>
    <row r="297" spans="1:5" x14ac:dyDescent="0.4">
      <c r="A297" t="s">
        <v>29</v>
      </c>
      <c r="B297" t="s">
        <v>39</v>
      </c>
      <c r="C297" s="2">
        <v>1018</v>
      </c>
      <c r="D297">
        <f>VLOOKUP(表1_[[#This Row],[地区]],Sheet2!A:B,2,0)</f>
        <v>650000</v>
      </c>
      <c r="E297">
        <f>表1_[[#This Row],[年份]]+表1_[[#This Row],[行政区划]]</f>
        <v>652019</v>
      </c>
    </row>
    <row r="298" spans="1:5" x14ac:dyDescent="0.4">
      <c r="A298" t="s">
        <v>29</v>
      </c>
      <c r="B298" t="s">
        <v>40</v>
      </c>
      <c r="C298" s="2">
        <v>1195</v>
      </c>
      <c r="D298">
        <f>VLOOKUP(表1_[[#This Row],[地区]],Sheet2!A:B,2,0)</f>
        <v>650000</v>
      </c>
      <c r="E298">
        <f>表1_[[#This Row],[年份]]+表1_[[#This Row],[行政区划]]</f>
        <v>652020</v>
      </c>
    </row>
    <row r="299" spans="1:5" x14ac:dyDescent="0.4">
      <c r="A299" t="s">
        <v>29</v>
      </c>
      <c r="B299" t="s">
        <v>41</v>
      </c>
      <c r="C299" s="2">
        <v>1810</v>
      </c>
      <c r="D299">
        <f>VLOOKUP(表1_[[#This Row],[地区]],Sheet2!A:B,2,0)</f>
        <v>650000</v>
      </c>
      <c r="E299">
        <f>表1_[[#This Row],[年份]]+表1_[[#This Row],[行政区划]]</f>
        <v>652021</v>
      </c>
    </row>
    <row r="300" spans="1:5" x14ac:dyDescent="0.4">
      <c r="A300" t="s">
        <v>29</v>
      </c>
      <c r="B300" t="s">
        <v>42</v>
      </c>
      <c r="C300" s="2">
        <v>2535</v>
      </c>
      <c r="D300">
        <f>VLOOKUP(表1_[[#This Row],[地区]],Sheet2!A:B,2,0)</f>
        <v>650000</v>
      </c>
      <c r="E300">
        <f>表1_[[#This Row],[年份]]+表1_[[#This Row],[行政区划]]</f>
        <v>652022</v>
      </c>
    </row>
    <row r="301" spans="1:5" x14ac:dyDescent="0.4">
      <c r="A301" t="s">
        <v>29</v>
      </c>
      <c r="B301" t="s">
        <v>43</v>
      </c>
      <c r="C301" s="2">
        <v>3233</v>
      </c>
      <c r="D301">
        <f>VLOOKUP(表1_[[#This Row],[地区]],Sheet2!A:B,2,0)</f>
        <v>650000</v>
      </c>
      <c r="E301">
        <f>表1_[[#This Row],[年份]]+表1_[[#This Row],[行政区划]]</f>
        <v>652023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06F09-DECE-47DE-86C6-3E712A7FDEBC}">
  <dimension ref="A1:B31"/>
  <sheetViews>
    <sheetView workbookViewId="0">
      <selection sqref="A1:B31"/>
    </sheetView>
  </sheetViews>
  <sheetFormatPr defaultRowHeight="13.9" x14ac:dyDescent="0.4"/>
  <sheetData>
    <row r="1" spans="1:2" x14ac:dyDescent="0.4">
      <c r="A1" s="2" t="s">
        <v>49</v>
      </c>
      <c r="B1" s="2" t="s">
        <v>50</v>
      </c>
    </row>
    <row r="2" spans="1:2" x14ac:dyDescent="0.4">
      <c r="A2" s="2" t="s">
        <v>0</v>
      </c>
      <c r="B2" s="2">
        <v>110000</v>
      </c>
    </row>
    <row r="3" spans="1:2" x14ac:dyDescent="0.4">
      <c r="A3" s="2" t="s">
        <v>1</v>
      </c>
      <c r="B3" s="2">
        <v>120000</v>
      </c>
    </row>
    <row r="4" spans="1:2" x14ac:dyDescent="0.4">
      <c r="A4" s="2" t="s">
        <v>2</v>
      </c>
      <c r="B4" s="2">
        <v>130000</v>
      </c>
    </row>
    <row r="5" spans="1:2" x14ac:dyDescent="0.4">
      <c r="A5" s="2" t="s">
        <v>3</v>
      </c>
      <c r="B5" s="2">
        <v>140000</v>
      </c>
    </row>
    <row r="6" spans="1:2" x14ac:dyDescent="0.4">
      <c r="A6" s="2" t="s">
        <v>4</v>
      </c>
      <c r="B6" s="2">
        <v>150000</v>
      </c>
    </row>
    <row r="7" spans="1:2" x14ac:dyDescent="0.4">
      <c r="A7" s="2" t="s">
        <v>5</v>
      </c>
      <c r="B7" s="2">
        <v>210000</v>
      </c>
    </row>
    <row r="8" spans="1:2" x14ac:dyDescent="0.4">
      <c r="A8" s="2" t="s">
        <v>6</v>
      </c>
      <c r="B8" s="2">
        <v>220000</v>
      </c>
    </row>
    <row r="9" spans="1:2" x14ac:dyDescent="0.4">
      <c r="A9" s="2" t="s">
        <v>7</v>
      </c>
      <c r="B9" s="2">
        <v>230000</v>
      </c>
    </row>
    <row r="10" spans="1:2" x14ac:dyDescent="0.4">
      <c r="A10" s="2" t="s">
        <v>8</v>
      </c>
      <c r="B10" s="2">
        <v>310000</v>
      </c>
    </row>
    <row r="11" spans="1:2" x14ac:dyDescent="0.4">
      <c r="A11" s="2" t="s">
        <v>9</v>
      </c>
      <c r="B11" s="2">
        <v>320000</v>
      </c>
    </row>
    <row r="12" spans="1:2" x14ac:dyDescent="0.4">
      <c r="A12" s="2" t="s">
        <v>10</v>
      </c>
      <c r="B12" s="2">
        <v>330000</v>
      </c>
    </row>
    <row r="13" spans="1:2" x14ac:dyDescent="0.4">
      <c r="A13" s="2" t="s">
        <v>11</v>
      </c>
      <c r="B13" s="2">
        <v>340000</v>
      </c>
    </row>
    <row r="14" spans="1:2" x14ac:dyDescent="0.4">
      <c r="A14" s="2" t="s">
        <v>12</v>
      </c>
      <c r="B14" s="2">
        <v>350000</v>
      </c>
    </row>
    <row r="15" spans="1:2" x14ac:dyDescent="0.4">
      <c r="A15" s="2" t="s">
        <v>13</v>
      </c>
      <c r="B15" s="2">
        <v>360000</v>
      </c>
    </row>
    <row r="16" spans="1:2" x14ac:dyDescent="0.4">
      <c r="A16" s="2" t="s">
        <v>14</v>
      </c>
      <c r="B16" s="2">
        <v>370000</v>
      </c>
    </row>
    <row r="17" spans="1:2" x14ac:dyDescent="0.4">
      <c r="A17" s="2" t="s">
        <v>15</v>
      </c>
      <c r="B17" s="2">
        <v>410000</v>
      </c>
    </row>
    <row r="18" spans="1:2" x14ac:dyDescent="0.4">
      <c r="A18" s="2" t="s">
        <v>16</v>
      </c>
      <c r="B18" s="2">
        <v>420000</v>
      </c>
    </row>
    <row r="19" spans="1:2" x14ac:dyDescent="0.4">
      <c r="A19" s="2" t="s">
        <v>17</v>
      </c>
      <c r="B19" s="2">
        <v>430000</v>
      </c>
    </row>
    <row r="20" spans="1:2" x14ac:dyDescent="0.4">
      <c r="A20" s="2" t="s">
        <v>18</v>
      </c>
      <c r="B20" s="2">
        <v>440000</v>
      </c>
    </row>
    <row r="21" spans="1:2" x14ac:dyDescent="0.4">
      <c r="A21" s="2" t="s">
        <v>19</v>
      </c>
      <c r="B21" s="2">
        <v>450000</v>
      </c>
    </row>
    <row r="22" spans="1:2" x14ac:dyDescent="0.4">
      <c r="A22" s="2" t="s">
        <v>20</v>
      </c>
      <c r="B22" s="2">
        <v>460000</v>
      </c>
    </row>
    <row r="23" spans="1:2" x14ac:dyDescent="0.4">
      <c r="A23" s="2" t="s">
        <v>21</v>
      </c>
      <c r="B23" s="2">
        <v>500000</v>
      </c>
    </row>
    <row r="24" spans="1:2" x14ac:dyDescent="0.4">
      <c r="A24" s="2" t="s">
        <v>22</v>
      </c>
      <c r="B24" s="2">
        <v>510000</v>
      </c>
    </row>
    <row r="25" spans="1:2" x14ac:dyDescent="0.4">
      <c r="A25" s="2" t="s">
        <v>23</v>
      </c>
      <c r="B25" s="2">
        <v>520000</v>
      </c>
    </row>
    <row r="26" spans="1:2" x14ac:dyDescent="0.4">
      <c r="A26" s="2" t="s">
        <v>24</v>
      </c>
      <c r="B26" s="2">
        <v>530000</v>
      </c>
    </row>
    <row r="27" spans="1:2" x14ac:dyDescent="0.4">
      <c r="A27" s="2" t="s">
        <v>25</v>
      </c>
      <c r="B27" s="2">
        <v>610000</v>
      </c>
    </row>
    <row r="28" spans="1:2" x14ac:dyDescent="0.4">
      <c r="A28" s="2" t="s">
        <v>26</v>
      </c>
      <c r="B28" s="2">
        <v>620000</v>
      </c>
    </row>
    <row r="29" spans="1:2" x14ac:dyDescent="0.4">
      <c r="A29" s="2" t="s">
        <v>27</v>
      </c>
      <c r="B29" s="2">
        <v>630000</v>
      </c>
    </row>
    <row r="30" spans="1:2" x14ac:dyDescent="0.4">
      <c r="A30" s="2" t="s">
        <v>28</v>
      </c>
      <c r="B30" s="2">
        <v>640000</v>
      </c>
    </row>
    <row r="31" spans="1:2" x14ac:dyDescent="0.4">
      <c r="A31" s="2" t="s">
        <v>29</v>
      </c>
      <c r="B31" s="2">
        <v>650000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FE585-ACEB-4860-9A71-DADB8F329950}">
  <dimension ref="A1:N31"/>
  <sheetViews>
    <sheetView workbookViewId="0">
      <selection sqref="A1:N31"/>
    </sheetView>
  </sheetViews>
  <sheetFormatPr defaultRowHeight="13.9" x14ac:dyDescent="0.4"/>
  <cols>
    <col min="2" max="14" width="9.06640625" style="1"/>
  </cols>
  <sheetData>
    <row r="1" spans="1:14" x14ac:dyDescent="0.4">
      <c r="A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</row>
    <row r="2" spans="1:14" x14ac:dyDescent="0.4">
      <c r="A2" t="s">
        <v>0</v>
      </c>
      <c r="B2" s="1">
        <v>11024</v>
      </c>
      <c r="C2" s="1">
        <v>13310</v>
      </c>
      <c r="D2" s="1">
        <v>12259</v>
      </c>
      <c r="E2" s="1">
        <v>10580</v>
      </c>
      <c r="F2" s="1">
        <v>10304</v>
      </c>
      <c r="G2" s="1">
        <v>10490</v>
      </c>
      <c r="H2" s="1">
        <v>11010</v>
      </c>
      <c r="I2" s="1">
        <v>12142</v>
      </c>
      <c r="J2" s="1">
        <v>13188</v>
      </c>
      <c r="K2" s="1">
        <v>15199</v>
      </c>
      <c r="L2" s="1">
        <v>16838</v>
      </c>
      <c r="M2" s="1">
        <v>18031</v>
      </c>
      <c r="N2" s="1">
        <v>19315</v>
      </c>
    </row>
    <row r="3" spans="1:14" x14ac:dyDescent="0.4">
      <c r="A3" t="s">
        <v>1</v>
      </c>
      <c r="B3" s="1">
        <v>12219</v>
      </c>
      <c r="C3" s="1">
        <v>11977</v>
      </c>
      <c r="D3" s="1">
        <v>13213</v>
      </c>
      <c r="E3" s="1">
        <v>9800</v>
      </c>
      <c r="F3" s="1">
        <v>10767</v>
      </c>
      <c r="G3" s="1">
        <v>11373</v>
      </c>
      <c r="H3" s="1">
        <v>11797</v>
      </c>
      <c r="I3" s="1">
        <v>12714</v>
      </c>
      <c r="J3" s="1">
        <v>14449</v>
      </c>
      <c r="K3" s="1">
        <v>16501</v>
      </c>
      <c r="L3" s="1">
        <v>16711</v>
      </c>
      <c r="M3" s="1">
        <v>17475</v>
      </c>
      <c r="N3" s="1">
        <v>18057</v>
      </c>
    </row>
    <row r="4" spans="1:14" x14ac:dyDescent="0.4">
      <c r="A4" t="s">
        <v>2</v>
      </c>
      <c r="B4" s="1">
        <v>7541</v>
      </c>
      <c r="C4" s="1">
        <v>7194</v>
      </c>
      <c r="D4" s="1">
        <v>8024</v>
      </c>
      <c r="E4" s="1">
        <v>7489</v>
      </c>
      <c r="F4" s="1">
        <v>8428</v>
      </c>
      <c r="G4" s="1">
        <v>10238</v>
      </c>
      <c r="H4" s="1">
        <v>11449</v>
      </c>
      <c r="I4" s="1">
        <v>14913</v>
      </c>
      <c r="J4" s="1">
        <v>20229</v>
      </c>
      <c r="K4" s="1">
        <v>26766</v>
      </c>
      <c r="L4" s="1">
        <v>34170</v>
      </c>
      <c r="M4" s="1">
        <v>39967</v>
      </c>
      <c r="N4" s="1">
        <v>46510</v>
      </c>
    </row>
    <row r="5" spans="1:14" x14ac:dyDescent="0.4">
      <c r="A5" t="s">
        <v>3</v>
      </c>
      <c r="B5" s="1">
        <v>2726</v>
      </c>
      <c r="C5" s="1">
        <v>2938</v>
      </c>
      <c r="D5" s="1">
        <v>2426</v>
      </c>
      <c r="E5" s="1">
        <v>1910</v>
      </c>
      <c r="F5" s="1">
        <v>2206</v>
      </c>
      <c r="G5" s="1">
        <v>3119</v>
      </c>
      <c r="H5" s="1">
        <v>3913</v>
      </c>
      <c r="I5" s="1">
        <v>4778</v>
      </c>
      <c r="J5" s="1">
        <v>6539</v>
      </c>
      <c r="K5" s="1">
        <v>7501</v>
      </c>
      <c r="L5" s="1">
        <v>7997</v>
      </c>
      <c r="M5" s="1">
        <v>8629</v>
      </c>
      <c r="N5" s="1">
        <v>9305</v>
      </c>
    </row>
    <row r="6" spans="1:14" x14ac:dyDescent="0.4">
      <c r="A6" t="s">
        <v>4</v>
      </c>
      <c r="B6" s="1">
        <v>1567</v>
      </c>
      <c r="C6" s="1">
        <v>1581</v>
      </c>
      <c r="D6" s="1">
        <v>1570</v>
      </c>
      <c r="E6" s="1">
        <v>1228</v>
      </c>
      <c r="F6" s="1">
        <v>1509</v>
      </c>
      <c r="G6" s="1">
        <v>1606</v>
      </c>
      <c r="H6" s="1">
        <v>1686</v>
      </c>
      <c r="I6" s="1">
        <v>1996</v>
      </c>
      <c r="J6" s="1">
        <v>2527</v>
      </c>
      <c r="K6" s="1">
        <v>3645</v>
      </c>
      <c r="L6" s="1">
        <v>4920</v>
      </c>
      <c r="M6" s="1">
        <v>5477</v>
      </c>
      <c r="N6" s="1">
        <v>6486</v>
      </c>
    </row>
    <row r="7" spans="1:14" x14ac:dyDescent="0.4">
      <c r="A7" t="s">
        <v>5</v>
      </c>
      <c r="B7" s="1">
        <v>8641</v>
      </c>
      <c r="C7" s="1">
        <v>8568</v>
      </c>
      <c r="D7" s="1">
        <v>8857</v>
      </c>
      <c r="E7" s="1">
        <v>5494</v>
      </c>
      <c r="F7" s="1">
        <v>6910</v>
      </c>
      <c r="G7" s="1">
        <v>8228</v>
      </c>
      <c r="H7" s="1">
        <v>9876</v>
      </c>
      <c r="I7" s="1">
        <v>12212</v>
      </c>
      <c r="J7" s="1">
        <v>14329</v>
      </c>
      <c r="K7" s="1">
        <v>16131</v>
      </c>
      <c r="L7" s="1">
        <v>17134</v>
      </c>
      <c r="M7" s="1">
        <v>17457</v>
      </c>
      <c r="N7" s="1">
        <v>18341</v>
      </c>
    </row>
    <row r="8" spans="1:14" x14ac:dyDescent="0.4">
      <c r="A8" t="s">
        <v>6</v>
      </c>
      <c r="B8" s="1">
        <v>2683</v>
      </c>
      <c r="C8" s="1">
        <v>6516</v>
      </c>
      <c r="D8" s="1">
        <v>2356</v>
      </c>
      <c r="E8" s="1">
        <v>2548</v>
      </c>
      <c r="F8" s="1">
        <v>2470</v>
      </c>
      <c r="G8" s="1">
        <v>2791</v>
      </c>
      <c r="H8" s="1">
        <v>2842</v>
      </c>
      <c r="I8" s="1">
        <v>3511</v>
      </c>
      <c r="J8" s="1">
        <v>3741</v>
      </c>
      <c r="K8" s="1">
        <v>4369</v>
      </c>
      <c r="L8" s="1">
        <v>5072</v>
      </c>
      <c r="M8" s="1">
        <v>5287</v>
      </c>
      <c r="N8" s="1">
        <v>6169</v>
      </c>
    </row>
    <row r="9" spans="1:14" x14ac:dyDescent="0.4">
      <c r="A9" t="s">
        <v>7</v>
      </c>
      <c r="B9" s="1">
        <v>3384</v>
      </c>
      <c r="C9" s="1">
        <v>3438</v>
      </c>
      <c r="D9" s="1">
        <v>3624</v>
      </c>
      <c r="E9" s="1">
        <v>2760</v>
      </c>
      <c r="F9" s="1">
        <v>2677</v>
      </c>
      <c r="G9" s="1">
        <v>3252</v>
      </c>
      <c r="H9" s="1">
        <v>3036</v>
      </c>
      <c r="I9" s="1">
        <v>3658</v>
      </c>
      <c r="J9" s="1">
        <v>4501</v>
      </c>
      <c r="K9" s="1">
        <v>6007</v>
      </c>
      <c r="L9" s="1">
        <v>7505</v>
      </c>
      <c r="M9" s="1">
        <v>7235</v>
      </c>
      <c r="N9" s="1">
        <v>8319</v>
      </c>
    </row>
    <row r="10" spans="1:14" x14ac:dyDescent="0.4">
      <c r="A10" t="s">
        <v>8</v>
      </c>
      <c r="B10" s="1">
        <v>17042</v>
      </c>
      <c r="C10" s="1">
        <v>17295</v>
      </c>
      <c r="D10" s="1">
        <v>18927</v>
      </c>
      <c r="E10" s="1">
        <v>14378</v>
      </c>
      <c r="F10" s="1">
        <v>15046</v>
      </c>
      <c r="G10" s="1">
        <v>16121</v>
      </c>
      <c r="H10" s="1">
        <v>18259</v>
      </c>
      <c r="I10" s="1">
        <v>20836</v>
      </c>
      <c r="J10" s="1">
        <v>22755</v>
      </c>
      <c r="K10" s="1">
        <v>24859</v>
      </c>
      <c r="L10" s="1">
        <v>27316</v>
      </c>
      <c r="M10" s="1">
        <v>29520</v>
      </c>
      <c r="N10" s="1">
        <v>32017</v>
      </c>
    </row>
    <row r="11" spans="1:14" x14ac:dyDescent="0.4">
      <c r="A11" t="s">
        <v>9</v>
      </c>
      <c r="B11" s="1">
        <v>53973</v>
      </c>
      <c r="C11" s="1">
        <v>58353</v>
      </c>
      <c r="D11" s="1">
        <v>62306</v>
      </c>
      <c r="E11" s="1">
        <v>57204</v>
      </c>
      <c r="F11" s="1">
        <v>64029</v>
      </c>
      <c r="G11" s="1">
        <v>69653</v>
      </c>
      <c r="H11" s="1">
        <v>80921</v>
      </c>
      <c r="I11" s="1">
        <v>95797</v>
      </c>
      <c r="J11" s="1">
        <v>102826</v>
      </c>
      <c r="K11" s="1">
        <v>116152</v>
      </c>
      <c r="L11" s="1">
        <v>131118</v>
      </c>
      <c r="M11" s="1">
        <v>141304</v>
      </c>
      <c r="N11" s="1">
        <v>148809</v>
      </c>
    </row>
    <row r="12" spans="1:14" x14ac:dyDescent="0.4">
      <c r="A12" t="s">
        <v>10</v>
      </c>
      <c r="B12" s="1">
        <v>41874</v>
      </c>
      <c r="C12" s="1">
        <v>47778</v>
      </c>
      <c r="D12" s="1">
        <v>51466</v>
      </c>
      <c r="E12" s="1">
        <v>55123</v>
      </c>
      <c r="F12" s="1">
        <v>63124</v>
      </c>
      <c r="G12" s="1">
        <v>72083</v>
      </c>
      <c r="H12" s="1">
        <v>87445</v>
      </c>
      <c r="I12" s="1">
        <v>110063</v>
      </c>
      <c r="J12" s="1">
        <v>133346</v>
      </c>
      <c r="K12" s="1">
        <v>164007</v>
      </c>
      <c r="L12" s="1">
        <v>188833</v>
      </c>
      <c r="M12" s="1">
        <v>207990</v>
      </c>
      <c r="N12" s="1">
        <v>229059</v>
      </c>
    </row>
    <row r="13" spans="1:14" x14ac:dyDescent="0.4">
      <c r="A13" t="s">
        <v>11</v>
      </c>
      <c r="B13" s="1">
        <v>15137</v>
      </c>
      <c r="C13" s="1">
        <v>17320</v>
      </c>
      <c r="D13" s="1">
        <v>18185</v>
      </c>
      <c r="E13" s="1">
        <v>17025</v>
      </c>
      <c r="F13" s="1">
        <v>19920</v>
      </c>
      <c r="G13" s="1">
        <v>22904</v>
      </c>
      <c r="H13" s="1">
        <v>25728</v>
      </c>
      <c r="I13" s="1">
        <v>27734</v>
      </c>
      <c r="J13" s="1">
        <v>32863</v>
      </c>
      <c r="K13" s="1">
        <v>36917</v>
      </c>
      <c r="L13" s="1">
        <v>42535</v>
      </c>
      <c r="M13" s="1">
        <v>45238</v>
      </c>
      <c r="N13" s="1">
        <v>50822</v>
      </c>
    </row>
    <row r="14" spans="1:14" x14ac:dyDescent="0.4">
      <c r="A14" t="s">
        <v>12</v>
      </c>
      <c r="B14" s="1">
        <v>9123</v>
      </c>
      <c r="C14" s="1">
        <v>10534</v>
      </c>
      <c r="D14" s="1">
        <v>10736</v>
      </c>
      <c r="E14" s="1">
        <v>9737</v>
      </c>
      <c r="F14" s="1">
        <v>11833</v>
      </c>
      <c r="G14" s="1">
        <v>14971</v>
      </c>
      <c r="H14" s="1">
        <v>18067</v>
      </c>
      <c r="I14" s="1">
        <v>22275</v>
      </c>
      <c r="J14" s="1">
        <v>27029</v>
      </c>
      <c r="K14" s="1">
        <v>31534</v>
      </c>
      <c r="L14" s="1">
        <v>35707</v>
      </c>
      <c r="M14" s="1">
        <v>35207</v>
      </c>
      <c r="N14" s="1">
        <v>37269</v>
      </c>
    </row>
    <row r="15" spans="1:14" x14ac:dyDescent="0.4">
      <c r="A15" t="s">
        <v>13</v>
      </c>
      <c r="B15" s="1">
        <v>3241</v>
      </c>
      <c r="C15" s="1">
        <v>4381</v>
      </c>
      <c r="D15" s="1">
        <v>5139</v>
      </c>
      <c r="E15" s="1">
        <v>4635</v>
      </c>
      <c r="F15" s="1">
        <v>8371</v>
      </c>
      <c r="G15" s="1">
        <v>11689</v>
      </c>
      <c r="H15" s="1">
        <v>15614</v>
      </c>
      <c r="I15" s="1">
        <v>20589</v>
      </c>
      <c r="J15" s="1">
        <v>23138</v>
      </c>
      <c r="K15" s="1">
        <v>29613</v>
      </c>
      <c r="L15" s="1">
        <v>32823</v>
      </c>
      <c r="M15" s="1">
        <v>38801</v>
      </c>
      <c r="N15" s="1">
        <v>43744</v>
      </c>
    </row>
    <row r="16" spans="1:14" x14ac:dyDescent="0.4">
      <c r="A16" t="s">
        <v>14</v>
      </c>
      <c r="B16" s="1">
        <v>28171</v>
      </c>
      <c r="C16" s="1">
        <v>31100</v>
      </c>
      <c r="D16" s="1">
        <v>34050</v>
      </c>
      <c r="E16" s="1">
        <v>28306</v>
      </c>
      <c r="F16" s="1">
        <v>32952</v>
      </c>
      <c r="G16" s="1">
        <v>38273</v>
      </c>
      <c r="H16" s="1">
        <v>40440</v>
      </c>
      <c r="I16" s="1">
        <v>44196</v>
      </c>
      <c r="J16" s="1">
        <v>59946</v>
      </c>
      <c r="K16" s="1">
        <v>83641</v>
      </c>
      <c r="L16" s="1">
        <v>100611</v>
      </c>
      <c r="M16" s="1">
        <v>120033</v>
      </c>
      <c r="N16" s="1">
        <v>123600</v>
      </c>
    </row>
    <row r="17" spans="1:14" x14ac:dyDescent="0.4">
      <c r="A17" t="s">
        <v>15</v>
      </c>
      <c r="B17" s="1">
        <v>9106</v>
      </c>
      <c r="C17" s="1">
        <v>11150</v>
      </c>
      <c r="D17" s="1">
        <v>11341</v>
      </c>
      <c r="E17" s="1">
        <v>9780</v>
      </c>
      <c r="F17" s="1">
        <v>10385</v>
      </c>
      <c r="G17" s="1">
        <v>13058</v>
      </c>
      <c r="H17" s="1">
        <v>16230</v>
      </c>
      <c r="I17" s="1">
        <v>19035</v>
      </c>
      <c r="J17" s="1">
        <v>22244</v>
      </c>
      <c r="K17" s="1">
        <v>26256</v>
      </c>
      <c r="L17" s="1">
        <v>29852</v>
      </c>
      <c r="M17" s="1">
        <v>30162</v>
      </c>
      <c r="N17" s="1">
        <v>32853</v>
      </c>
    </row>
    <row r="18" spans="1:14" x14ac:dyDescent="0.4">
      <c r="A18" t="s">
        <v>16</v>
      </c>
      <c r="B18" s="1">
        <v>9629</v>
      </c>
      <c r="C18" s="1">
        <v>10722</v>
      </c>
      <c r="D18" s="1">
        <v>11678</v>
      </c>
      <c r="E18" s="1">
        <v>8934</v>
      </c>
      <c r="F18" s="1">
        <v>10450</v>
      </c>
      <c r="G18" s="1">
        <v>12460</v>
      </c>
      <c r="H18" s="1">
        <v>15372</v>
      </c>
      <c r="I18" s="1">
        <v>17737</v>
      </c>
      <c r="J18" s="1">
        <v>20290</v>
      </c>
      <c r="K18" s="1">
        <v>24783</v>
      </c>
      <c r="L18" s="1">
        <v>27918</v>
      </c>
      <c r="M18" s="1">
        <v>32209</v>
      </c>
      <c r="N18" s="1">
        <v>36723</v>
      </c>
    </row>
    <row r="19" spans="1:14" x14ac:dyDescent="0.4">
      <c r="A19" t="s">
        <v>17</v>
      </c>
      <c r="B19" s="1">
        <v>8418</v>
      </c>
      <c r="C19" s="1">
        <v>9089</v>
      </c>
      <c r="D19" s="1">
        <v>9758</v>
      </c>
      <c r="E19" s="1">
        <v>6402</v>
      </c>
      <c r="F19" s="1">
        <v>7632</v>
      </c>
      <c r="G19" s="1">
        <v>10204</v>
      </c>
      <c r="H19" s="1">
        <v>15020</v>
      </c>
      <c r="I19" s="1">
        <v>21343</v>
      </c>
      <c r="J19" s="1">
        <v>26253</v>
      </c>
      <c r="K19" s="1">
        <v>36852</v>
      </c>
      <c r="L19" s="1">
        <v>46908</v>
      </c>
      <c r="M19" s="1">
        <v>53825</v>
      </c>
      <c r="N19" s="1">
        <v>58853</v>
      </c>
    </row>
    <row r="20" spans="1:14" x14ac:dyDescent="0.4">
      <c r="A20" t="s">
        <v>18</v>
      </c>
      <c r="B20" s="1">
        <v>43314</v>
      </c>
      <c r="C20" s="1">
        <v>47387</v>
      </c>
      <c r="D20" s="1">
        <v>49177</v>
      </c>
      <c r="E20" s="1">
        <v>43456</v>
      </c>
      <c r="F20" s="1">
        <v>66843</v>
      </c>
      <c r="G20" s="1">
        <v>103149</v>
      </c>
      <c r="H20" s="1">
        <v>121523</v>
      </c>
      <c r="I20" s="1">
        <v>146954</v>
      </c>
      <c r="J20" s="1">
        <v>166140</v>
      </c>
      <c r="K20" s="1">
        <v>201009</v>
      </c>
      <c r="L20" s="1">
        <v>221782</v>
      </c>
      <c r="M20" s="1">
        <v>241406</v>
      </c>
      <c r="N20" s="1">
        <v>259642</v>
      </c>
    </row>
    <row r="21" spans="1:14" x14ac:dyDescent="0.4">
      <c r="A21" t="s">
        <v>19</v>
      </c>
      <c r="B21" s="1">
        <v>3320</v>
      </c>
      <c r="C21" s="1">
        <v>3332</v>
      </c>
      <c r="D21" s="1">
        <v>3328</v>
      </c>
      <c r="E21" s="1">
        <v>2781</v>
      </c>
      <c r="F21" s="1">
        <v>3217</v>
      </c>
      <c r="G21" s="1">
        <v>3232</v>
      </c>
      <c r="H21" s="1">
        <v>3444</v>
      </c>
      <c r="I21" s="1">
        <v>4846</v>
      </c>
      <c r="J21" s="1">
        <v>6502</v>
      </c>
      <c r="K21" s="1">
        <v>10139</v>
      </c>
      <c r="L21" s="1">
        <v>11634</v>
      </c>
      <c r="M21" s="1">
        <v>12372</v>
      </c>
      <c r="N21" s="1">
        <v>14200</v>
      </c>
    </row>
    <row r="22" spans="1:14" x14ac:dyDescent="0.4">
      <c r="A22" t="s">
        <v>20</v>
      </c>
      <c r="B22" s="1">
        <v>594</v>
      </c>
      <c r="C22" s="1">
        <v>704</v>
      </c>
      <c r="D22" s="1">
        <v>843</v>
      </c>
      <c r="E22" s="1">
        <v>500</v>
      </c>
      <c r="F22" s="1">
        <v>512</v>
      </c>
      <c r="G22" s="1">
        <v>549</v>
      </c>
      <c r="H22" s="1">
        <v>706</v>
      </c>
      <c r="I22" s="1">
        <v>835</v>
      </c>
      <c r="J22" s="1">
        <v>1018</v>
      </c>
      <c r="K22" s="1">
        <v>1733</v>
      </c>
      <c r="L22" s="1">
        <v>2328</v>
      </c>
      <c r="M22" s="1">
        <v>2535</v>
      </c>
      <c r="N22" s="1">
        <v>2980</v>
      </c>
    </row>
    <row r="23" spans="1:14" x14ac:dyDescent="0.4">
      <c r="A23" t="s">
        <v>21</v>
      </c>
      <c r="B23" s="1">
        <v>5693</v>
      </c>
      <c r="C23" s="1">
        <v>6820</v>
      </c>
      <c r="D23" s="1">
        <v>8580</v>
      </c>
      <c r="E23" s="1">
        <v>7352</v>
      </c>
      <c r="F23" s="1">
        <v>9243</v>
      </c>
      <c r="G23" s="1">
        <v>11227</v>
      </c>
      <c r="H23" s="1">
        <v>12812</v>
      </c>
      <c r="I23" s="1">
        <v>14274</v>
      </c>
      <c r="J23" s="1">
        <v>16907</v>
      </c>
      <c r="K23" s="1">
        <v>19752</v>
      </c>
      <c r="L23" s="1">
        <v>22057</v>
      </c>
      <c r="M23" s="1">
        <v>23069</v>
      </c>
      <c r="N23" s="1">
        <v>24606</v>
      </c>
    </row>
    <row r="24" spans="1:14" x14ac:dyDescent="0.4">
      <c r="A24" t="s">
        <v>22</v>
      </c>
      <c r="B24" s="1">
        <v>11656</v>
      </c>
      <c r="C24" s="1">
        <v>12681</v>
      </c>
      <c r="D24" s="1">
        <v>13374</v>
      </c>
      <c r="E24" s="1">
        <v>6971</v>
      </c>
      <c r="F24" s="1">
        <v>8846</v>
      </c>
      <c r="G24" s="1">
        <v>11583</v>
      </c>
      <c r="H24" s="1">
        <v>13962</v>
      </c>
      <c r="I24" s="1">
        <v>17648</v>
      </c>
      <c r="J24" s="1">
        <v>22133</v>
      </c>
      <c r="K24" s="1">
        <v>26218</v>
      </c>
      <c r="L24" s="1">
        <v>28673</v>
      </c>
      <c r="M24" s="1">
        <v>32723</v>
      </c>
      <c r="N24" s="1">
        <v>35979</v>
      </c>
    </row>
    <row r="25" spans="1:14" x14ac:dyDescent="0.4">
      <c r="A25" t="s">
        <v>23</v>
      </c>
      <c r="B25" s="1">
        <v>1978</v>
      </c>
      <c r="C25" s="1">
        <v>1908</v>
      </c>
      <c r="D25" s="1">
        <v>1802</v>
      </c>
      <c r="E25" s="1">
        <v>1623</v>
      </c>
      <c r="F25" s="1">
        <v>2231</v>
      </c>
      <c r="G25" s="1">
        <v>2537</v>
      </c>
      <c r="H25" s="1">
        <v>3102</v>
      </c>
      <c r="I25" s="1">
        <v>4235</v>
      </c>
      <c r="J25" s="1">
        <v>4993</v>
      </c>
      <c r="K25" s="1">
        <v>5381</v>
      </c>
      <c r="L25" s="1">
        <v>5805</v>
      </c>
      <c r="M25" s="1">
        <v>5920</v>
      </c>
      <c r="N25" s="1">
        <v>6168</v>
      </c>
    </row>
    <row r="26" spans="1:14" x14ac:dyDescent="0.4">
      <c r="A26" t="s">
        <v>24</v>
      </c>
      <c r="B26" s="1">
        <v>1512</v>
      </c>
      <c r="C26" s="1">
        <v>1903</v>
      </c>
      <c r="D26" s="1">
        <v>2123</v>
      </c>
      <c r="E26" s="1">
        <v>2503</v>
      </c>
      <c r="F26" s="1">
        <v>3834</v>
      </c>
      <c r="G26" s="1">
        <v>4208</v>
      </c>
      <c r="H26" s="1">
        <v>4150</v>
      </c>
      <c r="I26" s="1">
        <v>5661</v>
      </c>
      <c r="J26" s="1">
        <v>5532</v>
      </c>
      <c r="K26" s="1">
        <v>5801</v>
      </c>
      <c r="L26" s="1">
        <v>6498</v>
      </c>
      <c r="M26" s="1">
        <v>7108</v>
      </c>
      <c r="N26" s="1">
        <v>7885</v>
      </c>
    </row>
    <row r="27" spans="1:14" x14ac:dyDescent="0.4">
      <c r="A27" t="s">
        <v>25</v>
      </c>
      <c r="B27" s="1">
        <v>6052</v>
      </c>
      <c r="C27" s="1">
        <v>6491</v>
      </c>
      <c r="D27" s="1">
        <v>6684</v>
      </c>
      <c r="E27" s="1">
        <v>4434</v>
      </c>
      <c r="F27" s="1">
        <v>4506</v>
      </c>
      <c r="G27" s="1">
        <v>5093</v>
      </c>
      <c r="H27" s="1">
        <v>6103</v>
      </c>
      <c r="I27" s="1">
        <v>7595</v>
      </c>
      <c r="J27" s="1">
        <v>9810</v>
      </c>
      <c r="K27" s="1">
        <v>11553</v>
      </c>
      <c r="L27" s="1">
        <v>13423</v>
      </c>
      <c r="M27" s="1">
        <v>16419</v>
      </c>
      <c r="N27" s="1">
        <v>18955</v>
      </c>
    </row>
    <row r="28" spans="1:14" x14ac:dyDescent="0.4">
      <c r="A28" t="s">
        <v>26</v>
      </c>
      <c r="B28" s="1">
        <v>1759</v>
      </c>
      <c r="C28" s="1">
        <v>1629</v>
      </c>
      <c r="D28" s="1">
        <v>1817</v>
      </c>
      <c r="E28" s="1">
        <v>1291</v>
      </c>
      <c r="F28" s="1">
        <v>1222</v>
      </c>
      <c r="G28" s="1">
        <v>1209</v>
      </c>
      <c r="H28" s="1">
        <v>1279</v>
      </c>
      <c r="I28" s="1">
        <v>1458</v>
      </c>
      <c r="J28" s="1">
        <v>1565</v>
      </c>
      <c r="K28" s="1">
        <v>2039</v>
      </c>
      <c r="L28" s="1">
        <v>2520</v>
      </c>
      <c r="M28" s="1">
        <v>2830</v>
      </c>
      <c r="N28" s="1">
        <v>3603</v>
      </c>
    </row>
    <row r="29" spans="1:14" x14ac:dyDescent="0.4">
      <c r="A29" t="s">
        <v>27</v>
      </c>
      <c r="B29" s="1">
        <v>103</v>
      </c>
      <c r="C29" s="1">
        <v>111</v>
      </c>
      <c r="D29" s="1">
        <v>130</v>
      </c>
      <c r="E29" s="1">
        <v>121</v>
      </c>
      <c r="F29" s="1">
        <v>126</v>
      </c>
      <c r="G29" s="1">
        <v>369</v>
      </c>
      <c r="H29" s="1">
        <v>195</v>
      </c>
      <c r="I29" s="1">
        <v>259</v>
      </c>
      <c r="J29" s="1">
        <v>308</v>
      </c>
      <c r="K29" s="1">
        <v>387</v>
      </c>
      <c r="L29" s="1">
        <v>327</v>
      </c>
      <c r="M29" s="1">
        <v>364</v>
      </c>
      <c r="N29" s="1">
        <v>625</v>
      </c>
    </row>
    <row r="30" spans="1:14" x14ac:dyDescent="0.4">
      <c r="A30" t="s">
        <v>28</v>
      </c>
      <c r="B30" s="1">
        <v>1131</v>
      </c>
      <c r="C30" s="1">
        <v>966</v>
      </c>
      <c r="D30" s="1">
        <v>1049</v>
      </c>
      <c r="E30" s="1">
        <v>981</v>
      </c>
      <c r="F30" s="1">
        <v>1102</v>
      </c>
      <c r="G30" s="1">
        <v>1194</v>
      </c>
      <c r="H30" s="1">
        <v>1350</v>
      </c>
      <c r="I30" s="1">
        <v>1448</v>
      </c>
      <c r="J30" s="1">
        <v>1777</v>
      </c>
      <c r="K30" s="1">
        <v>2076</v>
      </c>
      <c r="L30" s="1">
        <v>2347</v>
      </c>
      <c r="M30" s="1">
        <v>2699</v>
      </c>
      <c r="N30" s="1">
        <v>3210</v>
      </c>
    </row>
    <row r="31" spans="1:14" x14ac:dyDescent="0.4">
      <c r="A31" t="s">
        <v>29</v>
      </c>
      <c r="B31" s="1">
        <v>826</v>
      </c>
      <c r="C31" s="1">
        <v>1103</v>
      </c>
      <c r="D31" s="1">
        <v>1025</v>
      </c>
      <c r="E31" s="1">
        <v>924</v>
      </c>
      <c r="F31" s="1">
        <v>1153</v>
      </c>
      <c r="G31" s="1">
        <v>976</v>
      </c>
      <c r="H31" s="1">
        <v>936</v>
      </c>
      <c r="I31" s="1">
        <v>1018</v>
      </c>
      <c r="J31" s="1">
        <v>1195</v>
      </c>
      <c r="K31" s="1">
        <v>1810</v>
      </c>
      <c r="L31" s="1">
        <v>2535</v>
      </c>
      <c r="M31" s="1">
        <v>3233</v>
      </c>
      <c r="N31" s="1">
        <v>4731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F40304-F547-40E1-958A-83B9C5CAC5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表1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xya</dc:creator>
  <cp:lastModifiedBy>炜翔 林</cp:lastModifiedBy>
  <dcterms:created xsi:type="dcterms:W3CDTF">2026-04-17T12:45:04Z</dcterms:created>
  <dcterms:modified xsi:type="dcterms:W3CDTF">2026-04-17T13:24:59Z</dcterms:modified>
</cp:coreProperties>
</file>
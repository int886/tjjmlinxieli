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6B3BAE4-A0E0-401E-97E9-236686FAFCF5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4973F8-B065-4989-91D0-C0D103F4F8CD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<sst xmlns="http://schemas.openxmlformats.org/spreadsheetml/2006/main" count="678" uniqueCount="338">
  <si>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</si>
  <si>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</si>
  <si>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</si>
  <si>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</si>
  <si>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</si>
  <si>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</si>
  <si>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</si>
  <si>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</si>
  <si>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</si>
  <si>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</si>
  <si>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</si>
  <si>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0.11</t>
  </si>
  <si>
    <t>0.14</t>
  </si>
  <si>
    <t>0.18</t>
  </si>
  <si>
    <t>0.19</t>
  </si>
  <si>
    <t>0.27</t>
  </si>
  <si>
    <t>0.65</t>
  </si>
  <si>
    <t>1.50</t>
  </si>
  <si>
    <t>7.12</t>
  </si>
  <si>
    <t>7.89</t>
  </si>
  <si>
    <t>0.63</t>
  </si>
  <si>
    <t>0.85</t>
  </si>
  <si>
    <t>1.02</t>
  </si>
  <si>
    <t>1.78</t>
  </si>
  <si>
    <t>1.90</t>
  </si>
  <si>
    <t>2.51</t>
  </si>
  <si>
    <t>2.67</t>
  </si>
  <si>
    <t>18.59</t>
  </si>
  <si>
    <t>20.92</t>
  </si>
  <si>
    <t>14.25</t>
  </si>
  <si>
    <t>14.62</t>
  </si>
  <si>
    <t>17.07</t>
  </si>
  <si>
    <t>16.17</t>
  </si>
  <si>
    <t>28.69</t>
  </si>
  <si>
    <t>34.32</t>
  </si>
  <si>
    <t>43.31</t>
  </si>
  <si>
    <t>55.18</t>
  </si>
  <si>
    <t>110.84</t>
  </si>
  <si>
    <t>118.99</t>
  </si>
  <si>
    <t>13.20</t>
  </si>
  <si>
    <t>12.85</t>
  </si>
  <si>
    <t>14.70</t>
  </si>
  <si>
    <t>16.05</t>
  </si>
  <si>
    <t>22.86</t>
  </si>
  <si>
    <t>28.19</t>
  </si>
  <si>
    <t>34.12</t>
  </si>
  <si>
    <t>49.59</t>
  </si>
  <si>
    <t>112.06</t>
  </si>
  <si>
    <t>120.82</t>
  </si>
  <si>
    <t>22.02</t>
  </si>
  <si>
    <t>20.27</t>
  </si>
  <si>
    <t>22.48</t>
  </si>
  <si>
    <t>27.39</t>
  </si>
  <si>
    <t>35.24</t>
  </si>
  <si>
    <t>36.33</t>
  </si>
  <si>
    <t>37.81</t>
  </si>
  <si>
    <t>56.95</t>
  </si>
  <si>
    <t>123.09</t>
  </si>
  <si>
    <t>131.24</t>
  </si>
  <si>
    <t>13.10</t>
  </si>
  <si>
    <t>13.05</t>
  </si>
  <si>
    <t>16.33</t>
  </si>
  <si>
    <t>20.64</t>
  </si>
  <si>
    <t>26.31</t>
  </si>
  <si>
    <t>32.12</t>
  </si>
  <si>
    <t>34.90</t>
  </si>
  <si>
    <t>41.12</t>
  </si>
  <si>
    <t>96.88</t>
  </si>
  <si>
    <t>99.46</t>
  </si>
  <si>
    <t>5.50</t>
  </si>
  <si>
    <t>5.51</t>
  </si>
  <si>
    <t>6.23</t>
  </si>
  <si>
    <t>6.84</t>
  </si>
  <si>
    <t>9.84</t>
  </si>
  <si>
    <t>8.96</t>
  </si>
  <si>
    <t>12.27</t>
  </si>
  <si>
    <t>14.40</t>
  </si>
  <si>
    <t>36.29</t>
  </si>
  <si>
    <t>37.23</t>
  </si>
  <si>
    <t>9.53</t>
  </si>
  <si>
    <t>10.26</t>
  </si>
  <si>
    <t>11.03</t>
  </si>
  <si>
    <t>14.32</t>
  </si>
  <si>
    <t>13.49</t>
  </si>
  <si>
    <t>14.61</t>
  </si>
  <si>
    <t>18.37</t>
  </si>
  <si>
    <t>21.86</t>
  </si>
  <si>
    <t>45.63</t>
  </si>
  <si>
    <t>47.22</t>
  </si>
  <si>
    <t>0.64</t>
  </si>
  <si>
    <t>0.67</t>
  </si>
  <si>
    <t>0.58</t>
  </si>
  <si>
    <t>0.54</t>
  </si>
  <si>
    <t>0.75</t>
  </si>
  <si>
    <t>1.11</t>
  </si>
  <si>
    <t>1.38</t>
  </si>
  <si>
    <t>6.50</t>
  </si>
  <si>
    <t>17.08</t>
  </si>
  <si>
    <t>18.81</t>
  </si>
  <si>
    <t>7.04</t>
  </si>
  <si>
    <t>7.48</t>
  </si>
  <si>
    <t>8.86</t>
  </si>
  <si>
    <t>11.26</t>
  </si>
  <si>
    <t>28.46</t>
  </si>
  <si>
    <t>31.68</t>
  </si>
  <si>
    <t>38.32</t>
  </si>
  <si>
    <t>57.80</t>
  </si>
  <si>
    <t>83.51</t>
  </si>
  <si>
    <t>90.47</t>
  </si>
  <si>
    <t>3.82</t>
  </si>
  <si>
    <t>4.06</t>
  </si>
  <si>
    <t>4.33</t>
  </si>
  <si>
    <t>5.15</t>
  </si>
  <si>
    <t>7.78</t>
  </si>
  <si>
    <t>8.69</t>
  </si>
  <si>
    <t>11.18</t>
  </si>
  <si>
    <t>13.33</t>
  </si>
  <si>
    <t>53.78</t>
  </si>
  <si>
    <t>57.40</t>
  </si>
  <si>
    <t>7.29</t>
  </si>
  <si>
    <t>7.11</t>
  </si>
  <si>
    <t>8.55</t>
  </si>
  <si>
    <t>10.86</t>
  </si>
  <si>
    <t>15.10</t>
  </si>
  <si>
    <t>16.27</t>
  </si>
  <si>
    <t>19.54</t>
  </si>
  <si>
    <t>27.20</t>
  </si>
  <si>
    <t>48.01</t>
  </si>
  <si>
    <t>49.30</t>
  </si>
  <si>
    <t>5.69</t>
  </si>
  <si>
    <t>6.00</t>
  </si>
  <si>
    <t>6.51</t>
  </si>
  <si>
    <t>7.88</t>
  </si>
  <si>
    <t>12.54</t>
  </si>
  <si>
    <t>10.85</t>
  </si>
  <si>
    <t>11.95</t>
  </si>
  <si>
    <t>24.16</t>
  </si>
  <si>
    <t>33.79</t>
  </si>
  <si>
    <t>35.60</t>
  </si>
  <si>
    <t>6.40</t>
  </si>
  <si>
    <t>7.60</t>
  </si>
  <si>
    <t>8.75</t>
  </si>
  <si>
    <t>10.25</t>
  </si>
  <si>
    <t>22.71</t>
  </si>
  <si>
    <t>24.94</t>
  </si>
  <si>
    <t>31.72</t>
  </si>
  <si>
    <t>45.81</t>
  </si>
  <si>
    <t>52.81</t>
  </si>
  <si>
    <t>53.44</t>
  </si>
  <si>
    <t>13.45</t>
  </si>
  <si>
    <t>14.59</t>
  </si>
  <si>
    <t>16.53</t>
  </si>
  <si>
    <t>19.33</t>
  </si>
  <si>
    <t>28.15</t>
  </si>
  <si>
    <t>34.13</t>
  </si>
  <si>
    <t>41.63</t>
  </si>
  <si>
    <t>72.98</t>
  </si>
  <si>
    <t>152.57</t>
  </si>
  <si>
    <t>159.02</t>
  </si>
  <si>
    <t>6.04</t>
  </si>
  <si>
    <t>5.89</t>
  </si>
  <si>
    <t>6.68</t>
  </si>
  <si>
    <t>10.44</t>
  </si>
  <si>
    <t>13.98</t>
  </si>
  <si>
    <t>38.65</t>
  </si>
  <si>
    <t>114.43</t>
  </si>
  <si>
    <t>119.82</t>
  </si>
  <si>
    <t>8.50</t>
  </si>
  <si>
    <t>9.21</t>
  </si>
  <si>
    <t>9.72</t>
  </si>
  <si>
    <t>11.68</t>
  </si>
  <si>
    <t>12.08</t>
  </si>
  <si>
    <t>17.37</t>
  </si>
  <si>
    <t>21.78</t>
  </si>
  <si>
    <t>55.14</t>
  </si>
  <si>
    <t>58.38</t>
  </si>
  <si>
    <t>6.53</t>
  </si>
  <si>
    <t>6.96</t>
  </si>
  <si>
    <t>8.49</t>
  </si>
  <si>
    <t>10.24</t>
  </si>
  <si>
    <t>19.13</t>
  </si>
  <si>
    <t>22.94</t>
  </si>
  <si>
    <t>27.59</t>
  </si>
  <si>
    <t>30.92</t>
  </si>
  <si>
    <t>59.55</t>
  </si>
  <si>
    <t>62.37</t>
  </si>
  <si>
    <t>7.98</t>
  </si>
  <si>
    <t>8.82</t>
  </si>
  <si>
    <t>9.79</t>
  </si>
  <si>
    <t>11.69</t>
  </si>
  <si>
    <t>12.04</t>
  </si>
  <si>
    <t>18.73</t>
  </si>
  <si>
    <t>25.56</t>
  </si>
  <si>
    <t>67.83</t>
  </si>
  <si>
    <t>73.01</t>
  </si>
  <si>
    <t>7.69</t>
  </si>
  <si>
    <t>6.16</t>
  </si>
  <si>
    <t>7.43</t>
  </si>
  <si>
    <t>8.78</t>
  </si>
  <si>
    <t>9.51</t>
  </si>
  <si>
    <t>10.06</t>
  </si>
  <si>
    <t>10.52</t>
  </si>
  <si>
    <t>13.79</t>
  </si>
  <si>
    <t>42.12</t>
  </si>
  <si>
    <t>46.66</t>
  </si>
  <si>
    <t>0.35</t>
  </si>
  <si>
    <t>0.36</t>
  </si>
  <si>
    <t>0.43</t>
  </si>
  <si>
    <t>0.59</t>
  </si>
  <si>
    <t>0.69</t>
  </si>
  <si>
    <t>0.81</t>
  </si>
  <si>
    <t>0.97</t>
  </si>
  <si>
    <t>1.34</t>
  </si>
  <si>
    <t>3.23</t>
  </si>
  <si>
    <t>3.26</t>
  </si>
  <si>
    <t>3.58</t>
  </si>
  <si>
    <t>4.59</t>
  </si>
  <si>
    <t>5.06</t>
  </si>
  <si>
    <t>6.75</t>
  </si>
  <si>
    <t>7.50</t>
  </si>
  <si>
    <t>9.17</t>
  </si>
  <si>
    <t>12.24</t>
  </si>
  <si>
    <t>12.93</t>
  </si>
  <si>
    <t>49.58</t>
  </si>
  <si>
    <t>52.69</t>
  </si>
  <si>
    <t>10.90</t>
  </si>
  <si>
    <t>12.22</t>
  </si>
  <si>
    <t>13.58</t>
  </si>
  <si>
    <t>16.31</t>
  </si>
  <si>
    <t>18.82</t>
  </si>
  <si>
    <t>19.17</t>
  </si>
  <si>
    <t>22.32</t>
  </si>
  <si>
    <t>30.79</t>
  </si>
  <si>
    <t>71.76</t>
  </si>
  <si>
    <t>79.64</t>
  </si>
  <si>
    <t>13.44</t>
  </si>
  <si>
    <t>12.25</t>
  </si>
  <si>
    <t>14.31</t>
  </si>
  <si>
    <t>17.74</t>
  </si>
  <si>
    <t>23.37</t>
  </si>
  <si>
    <t>32.55</t>
  </si>
  <si>
    <t>35.89</t>
  </si>
  <si>
    <t>35.37</t>
  </si>
  <si>
    <t>85.30</t>
  </si>
  <si>
    <t>92.58</t>
  </si>
  <si>
    <t>18.46</t>
  </si>
  <si>
    <t>17.31</t>
  </si>
  <si>
    <t>17.66</t>
  </si>
  <si>
    <t>23.58</t>
  </si>
  <si>
    <t>24.74</t>
  </si>
  <si>
    <t>26.01</t>
  </si>
  <si>
    <t>45.17</t>
  </si>
  <si>
    <t>58.37</t>
  </si>
  <si>
    <t>63.67</t>
  </si>
  <si>
    <t>6.13</t>
  </si>
  <si>
    <t>6.72</t>
  </si>
  <si>
    <t>8.11</t>
  </si>
  <si>
    <t>9.37</t>
  </si>
  <si>
    <t>14.33</t>
  </si>
  <si>
    <t>14.72</t>
  </si>
  <si>
    <t>18.58</t>
  </si>
  <si>
    <t>25.02</t>
  </si>
  <si>
    <t>73.50</t>
  </si>
  <si>
    <t>78.10</t>
  </si>
  <si>
    <t>7.77</t>
  </si>
  <si>
    <t>7.67</t>
  </si>
  <si>
    <t>8.47</t>
  </si>
  <si>
    <t>8.58</t>
  </si>
  <si>
    <t>11.29</t>
  </si>
  <si>
    <t>12.55</t>
  </si>
  <si>
    <t>13.13</t>
  </si>
  <si>
    <t>15.67</t>
  </si>
  <si>
    <t>57.06</t>
  </si>
  <si>
    <t>57.56</t>
  </si>
  <si>
    <t>4.08</t>
  </si>
  <si>
    <t>3.92</t>
  </si>
  <si>
    <t>4.10</t>
  </si>
  <si>
    <t>4.01</t>
  </si>
  <si>
    <t>4.32</t>
  </si>
  <si>
    <t>4.65</t>
  </si>
  <si>
    <t>5.03</t>
  </si>
  <si>
    <t>5.62</t>
  </si>
  <si>
    <t>15.08</t>
  </si>
  <si>
    <t>15.43</t>
  </si>
  <si>
    <t>5.31</t>
  </si>
  <si>
    <t>5.48</t>
  </si>
  <si>
    <t>6.03</t>
  </si>
  <si>
    <t>7.16</t>
  </si>
  <si>
    <t>12.50</t>
  </si>
  <si>
    <t>13.06</t>
  </si>
  <si>
    <t>14.81</t>
  </si>
  <si>
    <t>19.65</t>
  </si>
  <si>
    <t>35.76</t>
  </si>
  <si>
    <t>37.71</t>
  </si>
  <si>
    <t>8.73</t>
  </si>
  <si>
    <t>10.20</t>
  </si>
  <si>
    <t>14.48</t>
  </si>
  <si>
    <t>23.86</t>
  </si>
  <si>
    <t>27.51</t>
  </si>
  <si>
    <t>33.69</t>
  </si>
  <si>
    <t>41.24</t>
  </si>
  <si>
    <t>77.83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</si>
  <si>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</si>
  <si>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</si>
  <si>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</si>
  <si>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</si>
  <si>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</si>
  <si>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</si>
  <si>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</si>
  <si>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</si>
  <si>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</si>
  <si>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</si>
  <si>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</si>
  <si>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</si>
  <si>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</si>
  <si>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</si>
  <si>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</si>
  <si>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</si>
  <si>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</si>
  <si>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</si>
  <si>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</si>
  <si>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</si>
  <si>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</si>
  <si>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</si>
  <si>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</si>
  <si>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</si>
  <si>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</si>
  <si>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</si>
  <si>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</si>
  <si>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</si>
  <si>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</si>
  <si>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</si>
  <si>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二氧化硫排放量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</si>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</sst>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85B049-4B99-41CC-A804-63F7F1CE8E8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309742-09DE-4088-A2E8-48A222F1137F}" name="表1_" displayName="表1_" ref="A1:E301" tableType="queryTable" totalsRowShown="0" headerRowDxfId="19" dataDxfId="18">
  <autoFilter ref="A1:E301" xr:uid="{62309742-09DE-4088-A2E8-48A222F1137F}"/>
  <tableColumns count="5">
    <tableColumn id="1" xr3:uid="{0164B579-B981-4A26-8046-C5C055A01874}" uniqueName="1" name="地区" queryTableFieldId="1" dataDxfId="17"/>
    <tableColumn id="2" xr3:uid="{C03EEB31-0451-407B-AC4E-815BF36D8527}" uniqueName="2" name="年份" queryTableFieldId="2" dataDxfId="16"/>
    <tableColumn id="3" xr3:uid="{9374BCFF-1177-4673-983E-C49DA556C86C}" uniqueName="3" name="二氧化硫排放量" queryTableFieldId="3" dataDxfId="15"/>
    <tableColumn id="4" xr3:uid="{E8DFF401-F4AA-45D6-958E-D2AAA393E8F4}" uniqueName="4" name="行政区划" queryTableFieldId="4" dataDxfId="14">
      <calculatedColumnFormula>VLOOKUP(表1_[[#This Row],[地区]],Sheet2!A:B,2,0)</calculatedColumnFormula>
    </tableColumn>
    <tableColumn id="5" xr3:uid="{4C75272A-4AB1-49C9-B261-819773BE42FA}" uniqueName="5" name="id" queryTableFieldId="5" dataDxfId="13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473430-B71F-4D98-8D0E-658EE527F743}" name="表1" displayName="表1" ref="A1:K31" totalsRowShown="0" headerRowDxfId="12" dataDxfId="11">
  <autoFilter ref="A1:K31" xr:uid="{A0473430-B71F-4D98-8D0E-658EE527F743}"/>
  <tableColumns count="11">
    <tableColumn id="1" xr3:uid="{F8468B49-22E8-4753-839E-B37AA5A76554}" name="地区" dataDxfId="10"/>
    <tableColumn id="2" xr3:uid="{A48B5667-64A9-41FD-AE7D-DC3CCAA9FA8F}" name="2023年" dataDxfId="9"/>
    <tableColumn id="3" xr3:uid="{ACE9A217-0411-4860-B005-6CAA10DAD225}" name="2022年" dataDxfId="8"/>
    <tableColumn id="4" xr3:uid="{73B37259-435B-4A3D-A4C9-B2F0CDEAF263}" name="2021年" dataDxfId="7"/>
    <tableColumn id="5" xr3:uid="{D5E9F2E0-7A86-46C1-AE48-0543EC49EC4A}" name="2020年" dataDxfId="6"/>
    <tableColumn id="6" xr3:uid="{B8A569CD-2B39-4933-9ED0-D68452021F7B}" name="2019年" dataDxfId="5"/>
    <tableColumn id="7" xr3:uid="{1633BD8D-1CB4-4E9E-8E01-7F8907783870}" name="2018年" dataDxfId="4"/>
    <tableColumn id="8" xr3:uid="{54370BC5-B5EE-476C-9184-1D2B5CA826B4}" name="2017年" dataDxfId="3"/>
    <tableColumn id="9" xr3:uid="{F0D42563-8309-496B-A06B-0E677F972CE6}" name="2016年" dataDxfId="2"/>
    <tableColumn id="10" xr3:uid="{BF860400-0199-496F-853C-D29108314925}" name="2015年" dataDxfId="1"/>
    <tableColumn id="11" xr3:uid="{778D05D0-8760-4CFE-A304-AFBA882909F8}" name="2014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09A4-B676-4535-A045-1D83D2C124A3}">
  <dimension ref="A1:E301"/>
  <sheetViews>
    <sheetView tabSelected="1" workbookViewId="0">
      <selection activeCell="B1" sqref="B1"/>
    </sheetView>
  </sheetViews>
  <sheetFormatPr defaultRowHeight="13.5" x14ac:dyDescent="0.3"/>
  <cols>
    <col min="1" max="2" width="7.265625" bestFit="1" customWidth="1"/>
    <col min="3" max="3" width="16.53125" customWidth="1"/>
  </cols>
  <sheetData>
    <row r="1" spans="1:5" x14ac:dyDescent="0.3">
      <c r="A1" s="5" t="s">
        <v>0</v>
      </c>
      <c r="B1" s="5" t="s">
        <v>337</v>
      </c>
      <c r="C1" s="5" t="s">
        <v>332</v>
      </c>
      <c r="D1" s="5" t="s">
        <v>333</v>
      </c>
      <c r="E1" s="5" t="s">
        <v>334</v>
      </c>
    </row>
    <row r="2" spans="1:5" x14ac:dyDescent="0.3">
      <c r="A2" s="5" t="s">
        <v>302</v>
      </c>
      <c r="B2" s="5">
        <v>2023</v>
      </c>
      <c r="C2" s="5">
        <v>0.11</v>
      </c>
      <c r="D2" s="5">
        <f>VLOOKUP(表1_[[#This Row],[地区]],Sheet2!A:B,2,0)</f>
        <v>110000</v>
      </c>
      <c r="E2" s="5">
        <f>表1_[[#This Row],[年份]]+表1_[[#This Row],[行政区划]]</f>
        <v>112023</v>
      </c>
    </row>
    <row r="3" spans="1:5" x14ac:dyDescent="0.3">
      <c r="A3" s="5" t="s">
        <v>302</v>
      </c>
      <c r="B3" s="5">
        <v>2022</v>
      </c>
      <c r="C3" s="5">
        <v>0.11</v>
      </c>
      <c r="D3" s="5">
        <f>VLOOKUP(表1_[[#This Row],[地区]],Sheet2!A:B,2,0)</f>
        <v>110000</v>
      </c>
      <c r="E3" s="5">
        <f>表1_[[#This Row],[年份]]+表1_[[#This Row],[行政区划]]</f>
        <v>112022</v>
      </c>
    </row>
    <row r="4" spans="1:5" x14ac:dyDescent="0.3">
      <c r="A4" s="5" t="s">
        <v>302</v>
      </c>
      <c r="B4" s="5">
        <v>2021</v>
      </c>
      <c r="C4" s="5">
        <v>0.14000000000000001</v>
      </c>
      <c r="D4" s="5">
        <f>VLOOKUP(表1_[[#This Row],[地区]],Sheet2!A:B,2,0)</f>
        <v>110000</v>
      </c>
      <c r="E4" s="5">
        <f>表1_[[#This Row],[年份]]+表1_[[#This Row],[行政区划]]</f>
        <v>112021</v>
      </c>
    </row>
    <row r="5" spans="1:5" x14ac:dyDescent="0.3">
      <c r="A5" s="5" t="s">
        <v>302</v>
      </c>
      <c r="B5" s="5">
        <v>2020</v>
      </c>
      <c r="C5" s="5">
        <v>0.18</v>
      </c>
      <c r="D5" s="5">
        <f>VLOOKUP(表1_[[#This Row],[地区]],Sheet2!A:B,2,0)</f>
        <v>110000</v>
      </c>
      <c r="E5" s="5">
        <f>表1_[[#This Row],[年份]]+表1_[[#This Row],[行政区划]]</f>
        <v>112020</v>
      </c>
    </row>
    <row r="6" spans="1:5" x14ac:dyDescent="0.3">
      <c r="A6" s="5" t="s">
        <v>302</v>
      </c>
      <c r="B6" s="5">
        <v>2019</v>
      </c>
      <c r="C6" s="5">
        <v>0.19</v>
      </c>
      <c r="D6" s="5">
        <f>VLOOKUP(表1_[[#This Row],[地区]],Sheet2!A:B,2,0)</f>
        <v>110000</v>
      </c>
      <c r="E6" s="5">
        <f>表1_[[#This Row],[年份]]+表1_[[#This Row],[行政区划]]</f>
        <v>112019</v>
      </c>
    </row>
    <row r="7" spans="1:5" x14ac:dyDescent="0.3">
      <c r="A7" s="5" t="s">
        <v>302</v>
      </c>
      <c r="B7" s="5">
        <v>2018</v>
      </c>
      <c r="C7" s="5">
        <v>0.27</v>
      </c>
      <c r="D7" s="5">
        <f>VLOOKUP(表1_[[#This Row],[地区]],Sheet2!A:B,2,0)</f>
        <v>110000</v>
      </c>
      <c r="E7" s="5">
        <f>表1_[[#This Row],[年份]]+表1_[[#This Row],[行政区划]]</f>
        <v>112018</v>
      </c>
    </row>
    <row r="8" spans="1:5" x14ac:dyDescent="0.3">
      <c r="A8" s="5" t="s">
        <v>302</v>
      </c>
      <c r="B8" s="5">
        <v>2017</v>
      </c>
      <c r="C8" s="5">
        <v>0.65</v>
      </c>
      <c r="D8" s="5">
        <f>VLOOKUP(表1_[[#This Row],[地区]],Sheet2!A:B,2,0)</f>
        <v>110000</v>
      </c>
      <c r="E8" s="5">
        <f>表1_[[#This Row],[年份]]+表1_[[#This Row],[行政区划]]</f>
        <v>112017</v>
      </c>
    </row>
    <row r="9" spans="1:5" x14ac:dyDescent="0.3">
      <c r="A9" s="5" t="s">
        <v>302</v>
      </c>
      <c r="B9" s="5">
        <v>2016</v>
      </c>
      <c r="C9" s="5">
        <v>1.5</v>
      </c>
      <c r="D9" s="5">
        <f>VLOOKUP(表1_[[#This Row],[地区]],Sheet2!A:B,2,0)</f>
        <v>110000</v>
      </c>
      <c r="E9" s="5">
        <f>表1_[[#This Row],[年份]]+表1_[[#This Row],[行政区划]]</f>
        <v>112016</v>
      </c>
    </row>
    <row r="10" spans="1:5" x14ac:dyDescent="0.3">
      <c r="A10" s="5" t="s">
        <v>302</v>
      </c>
      <c r="B10" s="5">
        <v>2015</v>
      </c>
      <c r="C10" s="5">
        <v>7.12</v>
      </c>
      <c r="D10" s="5">
        <f>VLOOKUP(表1_[[#This Row],[地区]],Sheet2!A:B,2,0)</f>
        <v>110000</v>
      </c>
      <c r="E10" s="5">
        <f>表1_[[#This Row],[年份]]+表1_[[#This Row],[行政区划]]</f>
        <v>112015</v>
      </c>
    </row>
    <row r="11" spans="1:5" x14ac:dyDescent="0.3">
      <c r="A11" s="5" t="s">
        <v>302</v>
      </c>
      <c r="B11" s="5">
        <v>2014</v>
      </c>
      <c r="C11" s="5">
        <v>7.89</v>
      </c>
      <c r="D11" s="5">
        <f>VLOOKUP(表1_[[#This Row],[地区]],Sheet2!A:B,2,0)</f>
        <v>110000</v>
      </c>
      <c r="E11" s="5">
        <f>表1_[[#This Row],[年份]]+表1_[[#This Row],[行政区划]]</f>
        <v>112014</v>
      </c>
    </row>
    <row r="12" spans="1:5" x14ac:dyDescent="0.3">
      <c r="A12" s="5" t="s">
        <v>303</v>
      </c>
      <c r="B12" s="5">
        <v>2023</v>
      </c>
      <c r="C12" s="5">
        <v>0.63</v>
      </c>
      <c r="D12" s="5">
        <f>VLOOKUP(表1_[[#This Row],[地区]],Sheet2!A:B,2,0)</f>
        <v>120000</v>
      </c>
      <c r="E12" s="5">
        <f>表1_[[#This Row],[年份]]+表1_[[#This Row],[行政区划]]</f>
        <v>122023</v>
      </c>
    </row>
    <row r="13" spans="1:5" x14ac:dyDescent="0.3">
      <c r="A13" s="5" t="s">
        <v>303</v>
      </c>
      <c r="B13" s="5">
        <v>2022</v>
      </c>
      <c r="C13" s="5">
        <v>0.65</v>
      </c>
      <c r="D13" s="5">
        <f>VLOOKUP(表1_[[#This Row],[地区]],Sheet2!A:B,2,0)</f>
        <v>120000</v>
      </c>
      <c r="E13" s="5">
        <f>表1_[[#This Row],[年份]]+表1_[[#This Row],[行政区划]]</f>
        <v>122022</v>
      </c>
    </row>
    <row r="14" spans="1:5" x14ac:dyDescent="0.3">
      <c r="A14" s="5" t="s">
        <v>303</v>
      </c>
      <c r="B14" s="5">
        <v>2021</v>
      </c>
      <c r="C14" s="5">
        <v>0.85</v>
      </c>
      <c r="D14" s="5">
        <f>VLOOKUP(表1_[[#This Row],[地区]],Sheet2!A:B,2,0)</f>
        <v>120000</v>
      </c>
      <c r="E14" s="5">
        <f>表1_[[#This Row],[年份]]+表1_[[#This Row],[行政区划]]</f>
        <v>122021</v>
      </c>
    </row>
    <row r="15" spans="1:5" x14ac:dyDescent="0.3">
      <c r="A15" s="5" t="s">
        <v>303</v>
      </c>
      <c r="B15" s="5">
        <v>2020</v>
      </c>
      <c r="C15" s="5">
        <v>1.02</v>
      </c>
      <c r="D15" s="5">
        <f>VLOOKUP(表1_[[#This Row],[地区]],Sheet2!A:B,2,0)</f>
        <v>120000</v>
      </c>
      <c r="E15" s="5">
        <f>表1_[[#This Row],[年份]]+表1_[[#This Row],[行政区划]]</f>
        <v>122020</v>
      </c>
    </row>
    <row r="16" spans="1:5" x14ac:dyDescent="0.3">
      <c r="A16" s="5" t="s">
        <v>303</v>
      </c>
      <c r="B16" s="5">
        <v>2019</v>
      </c>
      <c r="C16" s="5">
        <v>1.78</v>
      </c>
      <c r="D16" s="5">
        <f>VLOOKUP(表1_[[#This Row],[地区]],Sheet2!A:B,2,0)</f>
        <v>120000</v>
      </c>
      <c r="E16" s="5">
        <f>表1_[[#This Row],[年份]]+表1_[[#This Row],[行政区划]]</f>
        <v>122019</v>
      </c>
    </row>
    <row r="17" spans="1:5" x14ac:dyDescent="0.3">
      <c r="A17" s="5" t="s">
        <v>303</v>
      </c>
      <c r="B17" s="5">
        <v>2018</v>
      </c>
      <c r="C17" s="5">
        <v>1.9</v>
      </c>
      <c r="D17" s="5">
        <f>VLOOKUP(表1_[[#This Row],[地区]],Sheet2!A:B,2,0)</f>
        <v>120000</v>
      </c>
      <c r="E17" s="5">
        <f>表1_[[#This Row],[年份]]+表1_[[#This Row],[行政区划]]</f>
        <v>122018</v>
      </c>
    </row>
    <row r="18" spans="1:5" x14ac:dyDescent="0.3">
      <c r="A18" s="5" t="s">
        <v>303</v>
      </c>
      <c r="B18" s="5">
        <v>2017</v>
      </c>
      <c r="C18" s="5">
        <v>2.5099999999999998</v>
      </c>
      <c r="D18" s="5">
        <f>VLOOKUP(表1_[[#This Row],[地区]],Sheet2!A:B,2,0)</f>
        <v>120000</v>
      </c>
      <c r="E18" s="5">
        <f>表1_[[#This Row],[年份]]+表1_[[#This Row],[行政区划]]</f>
        <v>122017</v>
      </c>
    </row>
    <row r="19" spans="1:5" x14ac:dyDescent="0.3">
      <c r="A19" s="5" t="s">
        <v>303</v>
      </c>
      <c r="B19" s="5">
        <v>2016</v>
      </c>
      <c r="C19" s="5">
        <v>2.67</v>
      </c>
      <c r="D19" s="5">
        <f>VLOOKUP(表1_[[#This Row],[地区]],Sheet2!A:B,2,0)</f>
        <v>120000</v>
      </c>
      <c r="E19" s="5">
        <f>表1_[[#This Row],[年份]]+表1_[[#This Row],[行政区划]]</f>
        <v>122016</v>
      </c>
    </row>
    <row r="20" spans="1:5" x14ac:dyDescent="0.3">
      <c r="A20" s="5" t="s">
        <v>303</v>
      </c>
      <c r="B20" s="5">
        <v>2015</v>
      </c>
      <c r="C20" s="5">
        <v>18.59</v>
      </c>
      <c r="D20" s="5">
        <f>VLOOKUP(表1_[[#This Row],[地区]],Sheet2!A:B,2,0)</f>
        <v>120000</v>
      </c>
      <c r="E20" s="5">
        <f>表1_[[#This Row],[年份]]+表1_[[#This Row],[行政区划]]</f>
        <v>122015</v>
      </c>
    </row>
    <row r="21" spans="1:5" x14ac:dyDescent="0.3">
      <c r="A21" s="5" t="s">
        <v>303</v>
      </c>
      <c r="B21" s="5">
        <v>2014</v>
      </c>
      <c r="C21" s="5">
        <v>20.92</v>
      </c>
      <c r="D21" s="5">
        <f>VLOOKUP(表1_[[#This Row],[地区]],Sheet2!A:B,2,0)</f>
        <v>120000</v>
      </c>
      <c r="E21" s="5">
        <f>表1_[[#This Row],[年份]]+表1_[[#This Row],[行政区划]]</f>
        <v>122014</v>
      </c>
    </row>
    <row r="22" spans="1:5" x14ac:dyDescent="0.3">
      <c r="A22" s="5" t="s">
        <v>304</v>
      </c>
      <c r="B22" s="5">
        <v>2023</v>
      </c>
      <c r="C22" s="5">
        <v>14.25</v>
      </c>
      <c r="D22" s="5">
        <f>VLOOKUP(表1_[[#This Row],[地区]],Sheet2!A:B,2,0)</f>
        <v>130000</v>
      </c>
      <c r="E22" s="5">
        <f>表1_[[#This Row],[年份]]+表1_[[#This Row],[行政区划]]</f>
        <v>132023</v>
      </c>
    </row>
    <row r="23" spans="1:5" x14ac:dyDescent="0.3">
      <c r="A23" s="5" t="s">
        <v>304</v>
      </c>
      <c r="B23" s="5">
        <v>2022</v>
      </c>
      <c r="C23" s="5">
        <v>14.62</v>
      </c>
      <c r="D23" s="5">
        <f>VLOOKUP(表1_[[#This Row],[地区]],Sheet2!A:B,2,0)</f>
        <v>130000</v>
      </c>
      <c r="E23" s="5">
        <f>表1_[[#This Row],[年份]]+表1_[[#This Row],[行政区划]]</f>
        <v>132022</v>
      </c>
    </row>
    <row r="24" spans="1:5" x14ac:dyDescent="0.3">
      <c r="A24" s="5" t="s">
        <v>304</v>
      </c>
      <c r="B24" s="5">
        <v>2021</v>
      </c>
      <c r="C24" s="5">
        <v>17.07</v>
      </c>
      <c r="D24" s="5">
        <f>VLOOKUP(表1_[[#This Row],[地区]],Sheet2!A:B,2,0)</f>
        <v>130000</v>
      </c>
      <c r="E24" s="5">
        <f>表1_[[#This Row],[年份]]+表1_[[#This Row],[行政区划]]</f>
        <v>132021</v>
      </c>
    </row>
    <row r="25" spans="1:5" x14ac:dyDescent="0.3">
      <c r="A25" s="5" t="s">
        <v>304</v>
      </c>
      <c r="B25" s="5">
        <v>2020</v>
      </c>
      <c r="C25" s="5">
        <v>16.170000000000002</v>
      </c>
      <c r="D25" s="5">
        <f>VLOOKUP(表1_[[#This Row],[地区]],Sheet2!A:B,2,0)</f>
        <v>130000</v>
      </c>
      <c r="E25" s="5">
        <f>表1_[[#This Row],[年份]]+表1_[[#This Row],[行政区划]]</f>
        <v>132020</v>
      </c>
    </row>
    <row r="26" spans="1:5" x14ac:dyDescent="0.3">
      <c r="A26" s="5" t="s">
        <v>304</v>
      </c>
      <c r="B26" s="5">
        <v>2019</v>
      </c>
      <c r="C26" s="5">
        <v>28.69</v>
      </c>
      <c r="D26" s="5">
        <f>VLOOKUP(表1_[[#This Row],[地区]],Sheet2!A:B,2,0)</f>
        <v>130000</v>
      </c>
      <c r="E26" s="5">
        <f>表1_[[#This Row],[年份]]+表1_[[#This Row],[行政区划]]</f>
        <v>132019</v>
      </c>
    </row>
    <row r="27" spans="1:5" x14ac:dyDescent="0.3">
      <c r="A27" s="5" t="s">
        <v>304</v>
      </c>
      <c r="B27" s="5">
        <v>2018</v>
      </c>
      <c r="C27" s="5">
        <v>34.32</v>
      </c>
      <c r="D27" s="5">
        <f>VLOOKUP(表1_[[#This Row],[地区]],Sheet2!A:B,2,0)</f>
        <v>130000</v>
      </c>
      <c r="E27" s="5">
        <f>表1_[[#This Row],[年份]]+表1_[[#This Row],[行政区划]]</f>
        <v>132018</v>
      </c>
    </row>
    <row r="28" spans="1:5" x14ac:dyDescent="0.3">
      <c r="A28" s="5" t="s">
        <v>304</v>
      </c>
      <c r="B28" s="5">
        <v>2017</v>
      </c>
      <c r="C28" s="5">
        <v>43.31</v>
      </c>
      <c r="D28" s="5">
        <f>VLOOKUP(表1_[[#This Row],[地区]],Sheet2!A:B,2,0)</f>
        <v>130000</v>
      </c>
      <c r="E28" s="5">
        <f>表1_[[#This Row],[年份]]+表1_[[#This Row],[行政区划]]</f>
        <v>132017</v>
      </c>
    </row>
    <row r="29" spans="1:5" x14ac:dyDescent="0.3">
      <c r="A29" s="5" t="s">
        <v>304</v>
      </c>
      <c r="B29" s="5">
        <v>2016</v>
      </c>
      <c r="C29" s="5">
        <v>55.18</v>
      </c>
      <c r="D29" s="5">
        <f>VLOOKUP(表1_[[#This Row],[地区]],Sheet2!A:B,2,0)</f>
        <v>130000</v>
      </c>
      <c r="E29" s="5">
        <f>表1_[[#This Row],[年份]]+表1_[[#This Row],[行政区划]]</f>
        <v>132016</v>
      </c>
    </row>
    <row r="30" spans="1:5" x14ac:dyDescent="0.3">
      <c r="A30" s="5" t="s">
        <v>304</v>
      </c>
      <c r="B30" s="5">
        <v>2015</v>
      </c>
      <c r="C30" s="5">
        <v>110.84</v>
      </c>
      <c r="D30" s="5">
        <f>VLOOKUP(表1_[[#This Row],[地区]],Sheet2!A:B,2,0)</f>
        <v>130000</v>
      </c>
      <c r="E30" s="5">
        <f>表1_[[#This Row],[年份]]+表1_[[#This Row],[行政区划]]</f>
        <v>132015</v>
      </c>
    </row>
    <row r="31" spans="1:5" x14ac:dyDescent="0.3">
      <c r="A31" s="5" t="s">
        <v>304</v>
      </c>
      <c r="B31" s="5">
        <v>2014</v>
      </c>
      <c r="C31" s="5">
        <v>118.99</v>
      </c>
      <c r="D31" s="5">
        <f>VLOOKUP(表1_[[#This Row],[地区]],Sheet2!A:B,2,0)</f>
        <v>130000</v>
      </c>
      <c r="E31" s="5">
        <f>表1_[[#This Row],[年份]]+表1_[[#This Row],[行政区划]]</f>
        <v>132014</v>
      </c>
    </row>
    <row r="32" spans="1:5" x14ac:dyDescent="0.3">
      <c r="A32" s="5" t="s">
        <v>305</v>
      </c>
      <c r="B32" s="5">
        <v>2023</v>
      </c>
      <c r="C32" s="5">
        <v>13.2</v>
      </c>
      <c r="D32" s="5">
        <f>VLOOKUP(表1_[[#This Row],[地区]],Sheet2!A:B,2,0)</f>
        <v>140000</v>
      </c>
      <c r="E32" s="5">
        <f>表1_[[#This Row],[年份]]+表1_[[#This Row],[行政区划]]</f>
        <v>142023</v>
      </c>
    </row>
    <row r="33" spans="1:5" x14ac:dyDescent="0.3">
      <c r="A33" s="5" t="s">
        <v>305</v>
      </c>
      <c r="B33" s="5">
        <v>2022</v>
      </c>
      <c r="C33" s="5">
        <v>12.85</v>
      </c>
      <c r="D33" s="5">
        <f>VLOOKUP(表1_[[#This Row],[地区]],Sheet2!A:B,2,0)</f>
        <v>140000</v>
      </c>
      <c r="E33" s="5">
        <f>表1_[[#This Row],[年份]]+表1_[[#This Row],[行政区划]]</f>
        <v>142022</v>
      </c>
    </row>
    <row r="34" spans="1:5" x14ac:dyDescent="0.3">
      <c r="A34" s="5" t="s">
        <v>305</v>
      </c>
      <c r="B34" s="5">
        <v>2021</v>
      </c>
      <c r="C34" s="5">
        <v>14.7</v>
      </c>
      <c r="D34" s="5">
        <f>VLOOKUP(表1_[[#This Row],[地区]],Sheet2!A:B,2,0)</f>
        <v>140000</v>
      </c>
      <c r="E34" s="5">
        <f>表1_[[#This Row],[年份]]+表1_[[#This Row],[行政区划]]</f>
        <v>142021</v>
      </c>
    </row>
    <row r="35" spans="1:5" x14ac:dyDescent="0.3">
      <c r="A35" s="5" t="s">
        <v>305</v>
      </c>
      <c r="B35" s="5">
        <v>2020</v>
      </c>
      <c r="C35" s="5">
        <v>16.05</v>
      </c>
      <c r="D35" s="5">
        <f>VLOOKUP(表1_[[#This Row],[地区]],Sheet2!A:B,2,0)</f>
        <v>140000</v>
      </c>
      <c r="E35" s="5">
        <f>表1_[[#This Row],[年份]]+表1_[[#This Row],[行政区划]]</f>
        <v>142020</v>
      </c>
    </row>
    <row r="36" spans="1:5" x14ac:dyDescent="0.3">
      <c r="A36" s="5" t="s">
        <v>305</v>
      </c>
      <c r="B36" s="5">
        <v>2019</v>
      </c>
      <c r="C36" s="5">
        <v>22.86</v>
      </c>
      <c r="D36" s="5">
        <f>VLOOKUP(表1_[[#This Row],[地区]],Sheet2!A:B,2,0)</f>
        <v>140000</v>
      </c>
      <c r="E36" s="5">
        <f>表1_[[#This Row],[年份]]+表1_[[#This Row],[行政区划]]</f>
        <v>142019</v>
      </c>
    </row>
    <row r="37" spans="1:5" x14ac:dyDescent="0.3">
      <c r="A37" s="5" t="s">
        <v>305</v>
      </c>
      <c r="B37" s="5">
        <v>2018</v>
      </c>
      <c r="C37" s="5">
        <v>28.19</v>
      </c>
      <c r="D37" s="5">
        <f>VLOOKUP(表1_[[#This Row],[地区]],Sheet2!A:B,2,0)</f>
        <v>140000</v>
      </c>
      <c r="E37" s="5">
        <f>表1_[[#This Row],[年份]]+表1_[[#This Row],[行政区划]]</f>
        <v>142018</v>
      </c>
    </row>
    <row r="38" spans="1:5" x14ac:dyDescent="0.3">
      <c r="A38" s="5" t="s">
        <v>305</v>
      </c>
      <c r="B38" s="5">
        <v>2017</v>
      </c>
      <c r="C38" s="5">
        <v>34.119999999999997</v>
      </c>
      <c r="D38" s="5">
        <f>VLOOKUP(表1_[[#This Row],[地区]],Sheet2!A:B,2,0)</f>
        <v>140000</v>
      </c>
      <c r="E38" s="5">
        <f>表1_[[#This Row],[年份]]+表1_[[#This Row],[行政区划]]</f>
        <v>142017</v>
      </c>
    </row>
    <row r="39" spans="1:5" x14ac:dyDescent="0.3">
      <c r="A39" s="5" t="s">
        <v>305</v>
      </c>
      <c r="B39" s="5">
        <v>2016</v>
      </c>
      <c r="C39" s="5">
        <v>49.59</v>
      </c>
      <c r="D39" s="5">
        <f>VLOOKUP(表1_[[#This Row],[地区]],Sheet2!A:B,2,0)</f>
        <v>140000</v>
      </c>
      <c r="E39" s="5">
        <f>表1_[[#This Row],[年份]]+表1_[[#This Row],[行政区划]]</f>
        <v>142016</v>
      </c>
    </row>
    <row r="40" spans="1:5" x14ac:dyDescent="0.3">
      <c r="A40" s="5" t="s">
        <v>305</v>
      </c>
      <c r="B40" s="5">
        <v>2015</v>
      </c>
      <c r="C40" s="5">
        <v>112.06</v>
      </c>
      <c r="D40" s="5">
        <f>VLOOKUP(表1_[[#This Row],[地区]],Sheet2!A:B,2,0)</f>
        <v>140000</v>
      </c>
      <c r="E40" s="5">
        <f>表1_[[#This Row],[年份]]+表1_[[#This Row],[行政区划]]</f>
        <v>142015</v>
      </c>
    </row>
    <row r="41" spans="1:5" x14ac:dyDescent="0.3">
      <c r="A41" s="5" t="s">
        <v>305</v>
      </c>
      <c r="B41" s="5">
        <v>2014</v>
      </c>
      <c r="C41" s="5">
        <v>120.82</v>
      </c>
      <c r="D41" s="5">
        <f>VLOOKUP(表1_[[#This Row],[地区]],Sheet2!A:B,2,0)</f>
        <v>140000</v>
      </c>
      <c r="E41" s="5">
        <f>表1_[[#This Row],[年份]]+表1_[[#This Row],[行政区划]]</f>
        <v>142014</v>
      </c>
    </row>
    <row r="42" spans="1:5" x14ac:dyDescent="0.3">
      <c r="A42" s="5" t="s">
        <v>306</v>
      </c>
      <c r="B42" s="5">
        <v>2023</v>
      </c>
      <c r="C42" s="5">
        <v>22.02</v>
      </c>
      <c r="D42" s="5">
        <f>VLOOKUP(表1_[[#This Row],[地区]],Sheet2!A:B,2,0)</f>
        <v>150000</v>
      </c>
      <c r="E42" s="5">
        <f>表1_[[#This Row],[年份]]+表1_[[#This Row],[行政区划]]</f>
        <v>152023</v>
      </c>
    </row>
    <row r="43" spans="1:5" x14ac:dyDescent="0.3">
      <c r="A43" s="5" t="s">
        <v>306</v>
      </c>
      <c r="B43" s="5">
        <v>2022</v>
      </c>
      <c r="C43" s="5">
        <v>20.27</v>
      </c>
      <c r="D43" s="5">
        <f>VLOOKUP(表1_[[#This Row],[地区]],Sheet2!A:B,2,0)</f>
        <v>150000</v>
      </c>
      <c r="E43" s="5">
        <f>表1_[[#This Row],[年份]]+表1_[[#This Row],[行政区划]]</f>
        <v>152022</v>
      </c>
    </row>
    <row r="44" spans="1:5" x14ac:dyDescent="0.3">
      <c r="A44" s="5" t="s">
        <v>306</v>
      </c>
      <c r="B44" s="5">
        <v>2021</v>
      </c>
      <c r="C44" s="5">
        <v>22.48</v>
      </c>
      <c r="D44" s="5">
        <f>VLOOKUP(表1_[[#This Row],[地区]],Sheet2!A:B,2,0)</f>
        <v>150000</v>
      </c>
      <c r="E44" s="5">
        <f>表1_[[#This Row],[年份]]+表1_[[#This Row],[行政区划]]</f>
        <v>152021</v>
      </c>
    </row>
    <row r="45" spans="1:5" x14ac:dyDescent="0.3">
      <c r="A45" s="5" t="s">
        <v>306</v>
      </c>
      <c r="B45" s="5">
        <v>2020</v>
      </c>
      <c r="C45" s="5">
        <v>27.39</v>
      </c>
      <c r="D45" s="5">
        <f>VLOOKUP(表1_[[#This Row],[地区]],Sheet2!A:B,2,0)</f>
        <v>150000</v>
      </c>
      <c r="E45" s="5">
        <f>表1_[[#This Row],[年份]]+表1_[[#This Row],[行政区划]]</f>
        <v>152020</v>
      </c>
    </row>
    <row r="46" spans="1:5" x14ac:dyDescent="0.3">
      <c r="A46" s="5" t="s">
        <v>306</v>
      </c>
      <c r="B46" s="5">
        <v>2019</v>
      </c>
      <c r="C46" s="5">
        <v>35.24</v>
      </c>
      <c r="D46" s="5">
        <f>VLOOKUP(表1_[[#This Row],[地区]],Sheet2!A:B,2,0)</f>
        <v>150000</v>
      </c>
      <c r="E46" s="5">
        <f>表1_[[#This Row],[年份]]+表1_[[#This Row],[行政区划]]</f>
        <v>152019</v>
      </c>
    </row>
    <row r="47" spans="1:5" x14ac:dyDescent="0.3">
      <c r="A47" s="5" t="s">
        <v>306</v>
      </c>
      <c r="B47" s="5">
        <v>2018</v>
      </c>
      <c r="C47" s="5">
        <v>36.33</v>
      </c>
      <c r="D47" s="5">
        <f>VLOOKUP(表1_[[#This Row],[地区]],Sheet2!A:B,2,0)</f>
        <v>150000</v>
      </c>
      <c r="E47" s="5">
        <f>表1_[[#This Row],[年份]]+表1_[[#This Row],[行政区划]]</f>
        <v>152018</v>
      </c>
    </row>
    <row r="48" spans="1:5" x14ac:dyDescent="0.3">
      <c r="A48" s="5" t="s">
        <v>306</v>
      </c>
      <c r="B48" s="5">
        <v>2017</v>
      </c>
      <c r="C48" s="5">
        <v>37.81</v>
      </c>
      <c r="D48" s="5">
        <f>VLOOKUP(表1_[[#This Row],[地区]],Sheet2!A:B,2,0)</f>
        <v>150000</v>
      </c>
      <c r="E48" s="5">
        <f>表1_[[#This Row],[年份]]+表1_[[#This Row],[行政区划]]</f>
        <v>152017</v>
      </c>
    </row>
    <row r="49" spans="1:5" x14ac:dyDescent="0.3">
      <c r="A49" s="5" t="s">
        <v>306</v>
      </c>
      <c r="B49" s="5">
        <v>2016</v>
      </c>
      <c r="C49" s="5">
        <v>56.95</v>
      </c>
      <c r="D49" s="5">
        <f>VLOOKUP(表1_[[#This Row],[地区]],Sheet2!A:B,2,0)</f>
        <v>150000</v>
      </c>
      <c r="E49" s="5">
        <f>表1_[[#This Row],[年份]]+表1_[[#This Row],[行政区划]]</f>
        <v>152016</v>
      </c>
    </row>
    <row r="50" spans="1:5" x14ac:dyDescent="0.3">
      <c r="A50" s="5" t="s">
        <v>306</v>
      </c>
      <c r="B50" s="5">
        <v>2015</v>
      </c>
      <c r="C50" s="5">
        <v>123.09</v>
      </c>
      <c r="D50" s="5">
        <f>VLOOKUP(表1_[[#This Row],[地区]],Sheet2!A:B,2,0)</f>
        <v>150000</v>
      </c>
      <c r="E50" s="5">
        <f>表1_[[#This Row],[年份]]+表1_[[#This Row],[行政区划]]</f>
        <v>152015</v>
      </c>
    </row>
    <row r="51" spans="1:5" x14ac:dyDescent="0.3">
      <c r="A51" s="5" t="s">
        <v>306</v>
      </c>
      <c r="B51" s="5">
        <v>2014</v>
      </c>
      <c r="C51" s="5">
        <v>131.24</v>
      </c>
      <c r="D51" s="5">
        <f>VLOOKUP(表1_[[#This Row],[地区]],Sheet2!A:B,2,0)</f>
        <v>150000</v>
      </c>
      <c r="E51" s="5">
        <f>表1_[[#This Row],[年份]]+表1_[[#This Row],[行政区划]]</f>
        <v>152014</v>
      </c>
    </row>
    <row r="52" spans="1:5" x14ac:dyDescent="0.3">
      <c r="A52" s="5" t="s">
        <v>307</v>
      </c>
      <c r="B52" s="5">
        <v>2023</v>
      </c>
      <c r="C52" s="5">
        <v>13.1</v>
      </c>
      <c r="D52" s="5">
        <f>VLOOKUP(表1_[[#This Row],[地区]],Sheet2!A:B,2,0)</f>
        <v>210000</v>
      </c>
      <c r="E52" s="5">
        <f>表1_[[#This Row],[年份]]+表1_[[#This Row],[行政区划]]</f>
        <v>212023</v>
      </c>
    </row>
    <row r="53" spans="1:5" x14ac:dyDescent="0.3">
      <c r="A53" s="5" t="s">
        <v>307</v>
      </c>
      <c r="B53" s="5">
        <v>2022</v>
      </c>
      <c r="C53" s="5">
        <v>13.05</v>
      </c>
      <c r="D53" s="5">
        <f>VLOOKUP(表1_[[#This Row],[地区]],Sheet2!A:B,2,0)</f>
        <v>210000</v>
      </c>
      <c r="E53" s="5">
        <f>表1_[[#This Row],[年份]]+表1_[[#This Row],[行政区划]]</f>
        <v>212022</v>
      </c>
    </row>
    <row r="54" spans="1:5" x14ac:dyDescent="0.3">
      <c r="A54" s="5" t="s">
        <v>307</v>
      </c>
      <c r="B54" s="5">
        <v>2021</v>
      </c>
      <c r="C54" s="5">
        <v>16.329999999999998</v>
      </c>
      <c r="D54" s="5">
        <f>VLOOKUP(表1_[[#This Row],[地区]],Sheet2!A:B,2,0)</f>
        <v>210000</v>
      </c>
      <c r="E54" s="5">
        <f>表1_[[#This Row],[年份]]+表1_[[#This Row],[行政区划]]</f>
        <v>212021</v>
      </c>
    </row>
    <row r="55" spans="1:5" x14ac:dyDescent="0.3">
      <c r="A55" s="5" t="s">
        <v>307</v>
      </c>
      <c r="B55" s="5">
        <v>2020</v>
      </c>
      <c r="C55" s="5">
        <v>20.64</v>
      </c>
      <c r="D55" s="5">
        <f>VLOOKUP(表1_[[#This Row],[地区]],Sheet2!A:B,2,0)</f>
        <v>210000</v>
      </c>
      <c r="E55" s="5">
        <f>表1_[[#This Row],[年份]]+表1_[[#This Row],[行政区划]]</f>
        <v>212020</v>
      </c>
    </row>
    <row r="56" spans="1:5" x14ac:dyDescent="0.3">
      <c r="A56" s="5" t="s">
        <v>307</v>
      </c>
      <c r="B56" s="5">
        <v>2019</v>
      </c>
      <c r="C56" s="5">
        <v>26.31</v>
      </c>
      <c r="D56" s="5">
        <f>VLOOKUP(表1_[[#This Row],[地区]],Sheet2!A:B,2,0)</f>
        <v>210000</v>
      </c>
      <c r="E56" s="5">
        <f>表1_[[#This Row],[年份]]+表1_[[#This Row],[行政区划]]</f>
        <v>212019</v>
      </c>
    </row>
    <row r="57" spans="1:5" x14ac:dyDescent="0.3">
      <c r="A57" s="5" t="s">
        <v>307</v>
      </c>
      <c r="B57" s="5">
        <v>2018</v>
      </c>
      <c r="C57" s="5">
        <v>32.119999999999997</v>
      </c>
      <c r="D57" s="5">
        <f>VLOOKUP(表1_[[#This Row],[地区]],Sheet2!A:B,2,0)</f>
        <v>210000</v>
      </c>
      <c r="E57" s="5">
        <f>表1_[[#This Row],[年份]]+表1_[[#This Row],[行政区划]]</f>
        <v>212018</v>
      </c>
    </row>
    <row r="58" spans="1:5" x14ac:dyDescent="0.3">
      <c r="A58" s="5" t="s">
        <v>307</v>
      </c>
      <c r="B58" s="5">
        <v>2017</v>
      </c>
      <c r="C58" s="5">
        <v>34.9</v>
      </c>
      <c r="D58" s="5">
        <f>VLOOKUP(表1_[[#This Row],[地区]],Sheet2!A:B,2,0)</f>
        <v>210000</v>
      </c>
      <c r="E58" s="5">
        <f>表1_[[#This Row],[年份]]+表1_[[#This Row],[行政区划]]</f>
        <v>212017</v>
      </c>
    </row>
    <row r="59" spans="1:5" x14ac:dyDescent="0.3">
      <c r="A59" s="5" t="s">
        <v>307</v>
      </c>
      <c r="B59" s="5">
        <v>2016</v>
      </c>
      <c r="C59" s="5">
        <v>41.12</v>
      </c>
      <c r="D59" s="5">
        <f>VLOOKUP(表1_[[#This Row],[地区]],Sheet2!A:B,2,0)</f>
        <v>210000</v>
      </c>
      <c r="E59" s="5">
        <f>表1_[[#This Row],[年份]]+表1_[[#This Row],[行政区划]]</f>
        <v>212016</v>
      </c>
    </row>
    <row r="60" spans="1:5" x14ac:dyDescent="0.3">
      <c r="A60" s="5" t="s">
        <v>307</v>
      </c>
      <c r="B60" s="5">
        <v>2015</v>
      </c>
      <c r="C60" s="5">
        <v>96.88</v>
      </c>
      <c r="D60" s="5">
        <f>VLOOKUP(表1_[[#This Row],[地区]],Sheet2!A:B,2,0)</f>
        <v>210000</v>
      </c>
      <c r="E60" s="5">
        <f>表1_[[#This Row],[年份]]+表1_[[#This Row],[行政区划]]</f>
        <v>212015</v>
      </c>
    </row>
    <row r="61" spans="1:5" x14ac:dyDescent="0.3">
      <c r="A61" s="5" t="s">
        <v>307</v>
      </c>
      <c r="B61" s="5">
        <v>2014</v>
      </c>
      <c r="C61" s="5">
        <v>99.46</v>
      </c>
      <c r="D61" s="5">
        <f>VLOOKUP(表1_[[#This Row],[地区]],Sheet2!A:B,2,0)</f>
        <v>210000</v>
      </c>
      <c r="E61" s="5">
        <f>表1_[[#This Row],[年份]]+表1_[[#This Row],[行政区划]]</f>
        <v>212014</v>
      </c>
    </row>
    <row r="62" spans="1:5" x14ac:dyDescent="0.3">
      <c r="A62" s="5" t="s">
        <v>308</v>
      </c>
      <c r="B62" s="5">
        <v>2023</v>
      </c>
      <c r="C62" s="5">
        <v>5.5</v>
      </c>
      <c r="D62" s="5">
        <f>VLOOKUP(表1_[[#This Row],[地区]],Sheet2!A:B,2,0)</f>
        <v>220000</v>
      </c>
      <c r="E62" s="5">
        <f>表1_[[#This Row],[年份]]+表1_[[#This Row],[行政区划]]</f>
        <v>222023</v>
      </c>
    </row>
    <row r="63" spans="1:5" x14ac:dyDescent="0.3">
      <c r="A63" s="5" t="s">
        <v>308</v>
      </c>
      <c r="B63" s="5">
        <v>2022</v>
      </c>
      <c r="C63" s="5">
        <v>5.51</v>
      </c>
      <c r="D63" s="5">
        <f>VLOOKUP(表1_[[#This Row],[地区]],Sheet2!A:B,2,0)</f>
        <v>220000</v>
      </c>
      <c r="E63" s="5">
        <f>表1_[[#This Row],[年份]]+表1_[[#This Row],[行政区划]]</f>
        <v>222022</v>
      </c>
    </row>
    <row r="64" spans="1:5" x14ac:dyDescent="0.3">
      <c r="A64" s="5" t="s">
        <v>308</v>
      </c>
      <c r="B64" s="5">
        <v>2021</v>
      </c>
      <c r="C64" s="5">
        <v>6.23</v>
      </c>
      <c r="D64" s="5">
        <f>VLOOKUP(表1_[[#This Row],[地区]],Sheet2!A:B,2,0)</f>
        <v>220000</v>
      </c>
      <c r="E64" s="5">
        <f>表1_[[#This Row],[年份]]+表1_[[#This Row],[行政区划]]</f>
        <v>222021</v>
      </c>
    </row>
    <row r="65" spans="1:5" x14ac:dyDescent="0.3">
      <c r="A65" s="5" t="s">
        <v>308</v>
      </c>
      <c r="B65" s="5">
        <v>2020</v>
      </c>
      <c r="C65" s="5">
        <v>6.84</v>
      </c>
      <c r="D65" s="5">
        <f>VLOOKUP(表1_[[#This Row],[地区]],Sheet2!A:B,2,0)</f>
        <v>220000</v>
      </c>
      <c r="E65" s="5">
        <f>表1_[[#This Row],[年份]]+表1_[[#This Row],[行政区划]]</f>
        <v>222020</v>
      </c>
    </row>
    <row r="66" spans="1:5" x14ac:dyDescent="0.3">
      <c r="A66" s="5" t="s">
        <v>308</v>
      </c>
      <c r="B66" s="5">
        <v>2019</v>
      </c>
      <c r="C66" s="5">
        <v>9.84</v>
      </c>
      <c r="D66" s="5">
        <f>VLOOKUP(表1_[[#This Row],[地区]],Sheet2!A:B,2,0)</f>
        <v>220000</v>
      </c>
      <c r="E66" s="5">
        <f>表1_[[#This Row],[年份]]+表1_[[#This Row],[行政区划]]</f>
        <v>222019</v>
      </c>
    </row>
    <row r="67" spans="1:5" x14ac:dyDescent="0.3">
      <c r="A67" s="5" t="s">
        <v>308</v>
      </c>
      <c r="B67" s="5">
        <v>2018</v>
      </c>
      <c r="C67" s="5">
        <v>8.9600000000000009</v>
      </c>
      <c r="D67" s="5">
        <f>VLOOKUP(表1_[[#This Row],[地区]],Sheet2!A:B,2,0)</f>
        <v>220000</v>
      </c>
      <c r="E67" s="5">
        <f>表1_[[#This Row],[年份]]+表1_[[#This Row],[行政区划]]</f>
        <v>222018</v>
      </c>
    </row>
    <row r="68" spans="1:5" x14ac:dyDescent="0.3">
      <c r="A68" s="5" t="s">
        <v>308</v>
      </c>
      <c r="B68" s="5">
        <v>2017</v>
      </c>
      <c r="C68" s="5">
        <v>12.27</v>
      </c>
      <c r="D68" s="5">
        <f>VLOOKUP(表1_[[#This Row],[地区]],Sheet2!A:B,2,0)</f>
        <v>220000</v>
      </c>
      <c r="E68" s="5">
        <f>表1_[[#This Row],[年份]]+表1_[[#This Row],[行政区划]]</f>
        <v>222017</v>
      </c>
    </row>
    <row r="69" spans="1:5" x14ac:dyDescent="0.3">
      <c r="A69" s="5" t="s">
        <v>308</v>
      </c>
      <c r="B69" s="5">
        <v>2016</v>
      </c>
      <c r="C69" s="5">
        <v>14.4</v>
      </c>
      <c r="D69" s="5">
        <f>VLOOKUP(表1_[[#This Row],[地区]],Sheet2!A:B,2,0)</f>
        <v>220000</v>
      </c>
      <c r="E69" s="5">
        <f>表1_[[#This Row],[年份]]+表1_[[#This Row],[行政区划]]</f>
        <v>222016</v>
      </c>
    </row>
    <row r="70" spans="1:5" x14ac:dyDescent="0.3">
      <c r="A70" s="5" t="s">
        <v>308</v>
      </c>
      <c r="B70" s="5">
        <v>2015</v>
      </c>
      <c r="C70" s="5">
        <v>36.29</v>
      </c>
      <c r="D70" s="5">
        <f>VLOOKUP(表1_[[#This Row],[地区]],Sheet2!A:B,2,0)</f>
        <v>220000</v>
      </c>
      <c r="E70" s="5">
        <f>表1_[[#This Row],[年份]]+表1_[[#This Row],[行政区划]]</f>
        <v>222015</v>
      </c>
    </row>
    <row r="71" spans="1:5" x14ac:dyDescent="0.3">
      <c r="A71" s="5" t="s">
        <v>308</v>
      </c>
      <c r="B71" s="5">
        <v>2014</v>
      </c>
      <c r="C71" s="5">
        <v>37.229999999999997</v>
      </c>
      <c r="D71" s="5">
        <f>VLOOKUP(表1_[[#This Row],[地区]],Sheet2!A:B,2,0)</f>
        <v>220000</v>
      </c>
      <c r="E71" s="5">
        <f>表1_[[#This Row],[年份]]+表1_[[#This Row],[行政区划]]</f>
        <v>222014</v>
      </c>
    </row>
    <row r="72" spans="1:5" x14ac:dyDescent="0.3">
      <c r="A72" s="5" t="s">
        <v>309</v>
      </c>
      <c r="B72" s="5">
        <v>2023</v>
      </c>
      <c r="C72" s="5">
        <v>9.5299999999999994</v>
      </c>
      <c r="D72" s="5">
        <f>VLOOKUP(表1_[[#This Row],[地区]],Sheet2!A:B,2,0)</f>
        <v>230000</v>
      </c>
      <c r="E72" s="5">
        <f>表1_[[#This Row],[年份]]+表1_[[#This Row],[行政区划]]</f>
        <v>232023</v>
      </c>
    </row>
    <row r="73" spans="1:5" x14ac:dyDescent="0.3">
      <c r="A73" s="5" t="s">
        <v>309</v>
      </c>
      <c r="B73" s="5">
        <v>2022</v>
      </c>
      <c r="C73" s="5">
        <v>10.26</v>
      </c>
      <c r="D73" s="5">
        <f>VLOOKUP(表1_[[#This Row],[地区]],Sheet2!A:B,2,0)</f>
        <v>230000</v>
      </c>
      <c r="E73" s="5">
        <f>表1_[[#This Row],[年份]]+表1_[[#This Row],[行政区划]]</f>
        <v>232022</v>
      </c>
    </row>
    <row r="74" spans="1:5" x14ac:dyDescent="0.3">
      <c r="A74" s="5" t="s">
        <v>309</v>
      </c>
      <c r="B74" s="5">
        <v>2021</v>
      </c>
      <c r="C74" s="5">
        <v>11.03</v>
      </c>
      <c r="D74" s="5">
        <f>VLOOKUP(表1_[[#This Row],[地区]],Sheet2!A:B,2,0)</f>
        <v>230000</v>
      </c>
      <c r="E74" s="5">
        <f>表1_[[#This Row],[年份]]+表1_[[#This Row],[行政区划]]</f>
        <v>232021</v>
      </c>
    </row>
    <row r="75" spans="1:5" x14ac:dyDescent="0.3">
      <c r="A75" s="5" t="s">
        <v>309</v>
      </c>
      <c r="B75" s="5">
        <v>2020</v>
      </c>
      <c r="C75" s="5">
        <v>14.32</v>
      </c>
      <c r="D75" s="5">
        <f>VLOOKUP(表1_[[#This Row],[地区]],Sheet2!A:B,2,0)</f>
        <v>230000</v>
      </c>
      <c r="E75" s="5">
        <f>表1_[[#This Row],[年份]]+表1_[[#This Row],[行政区划]]</f>
        <v>232020</v>
      </c>
    </row>
    <row r="76" spans="1:5" x14ac:dyDescent="0.3">
      <c r="A76" s="5" t="s">
        <v>309</v>
      </c>
      <c r="B76" s="5">
        <v>2019</v>
      </c>
      <c r="C76" s="5">
        <v>13.49</v>
      </c>
      <c r="D76" s="5">
        <f>VLOOKUP(表1_[[#This Row],[地区]],Sheet2!A:B,2,0)</f>
        <v>230000</v>
      </c>
      <c r="E76" s="5">
        <f>表1_[[#This Row],[年份]]+表1_[[#This Row],[行政区划]]</f>
        <v>232019</v>
      </c>
    </row>
    <row r="77" spans="1:5" x14ac:dyDescent="0.3">
      <c r="A77" s="5" t="s">
        <v>309</v>
      </c>
      <c r="B77" s="5">
        <v>2018</v>
      </c>
      <c r="C77" s="5">
        <v>14.61</v>
      </c>
      <c r="D77" s="5">
        <f>VLOOKUP(表1_[[#This Row],[地区]],Sheet2!A:B,2,0)</f>
        <v>230000</v>
      </c>
      <c r="E77" s="5">
        <f>表1_[[#This Row],[年份]]+表1_[[#This Row],[行政区划]]</f>
        <v>232018</v>
      </c>
    </row>
    <row r="78" spans="1:5" x14ac:dyDescent="0.3">
      <c r="A78" s="5" t="s">
        <v>309</v>
      </c>
      <c r="B78" s="5">
        <v>2017</v>
      </c>
      <c r="C78" s="5">
        <v>18.37</v>
      </c>
      <c r="D78" s="5">
        <f>VLOOKUP(表1_[[#This Row],[地区]],Sheet2!A:B,2,0)</f>
        <v>230000</v>
      </c>
      <c r="E78" s="5">
        <f>表1_[[#This Row],[年份]]+表1_[[#This Row],[行政区划]]</f>
        <v>232017</v>
      </c>
    </row>
    <row r="79" spans="1:5" x14ac:dyDescent="0.3">
      <c r="A79" s="5" t="s">
        <v>309</v>
      </c>
      <c r="B79" s="5">
        <v>2016</v>
      </c>
      <c r="C79" s="5">
        <v>21.86</v>
      </c>
      <c r="D79" s="5">
        <f>VLOOKUP(表1_[[#This Row],[地区]],Sheet2!A:B,2,0)</f>
        <v>230000</v>
      </c>
      <c r="E79" s="5">
        <f>表1_[[#This Row],[年份]]+表1_[[#This Row],[行政区划]]</f>
        <v>232016</v>
      </c>
    </row>
    <row r="80" spans="1:5" x14ac:dyDescent="0.3">
      <c r="A80" s="5" t="s">
        <v>309</v>
      </c>
      <c r="B80" s="5">
        <v>2015</v>
      </c>
      <c r="C80" s="5">
        <v>45.63</v>
      </c>
      <c r="D80" s="5">
        <f>VLOOKUP(表1_[[#This Row],[地区]],Sheet2!A:B,2,0)</f>
        <v>230000</v>
      </c>
      <c r="E80" s="5">
        <f>表1_[[#This Row],[年份]]+表1_[[#This Row],[行政区划]]</f>
        <v>232015</v>
      </c>
    </row>
    <row r="81" spans="1:5" x14ac:dyDescent="0.3">
      <c r="A81" s="5" t="s">
        <v>309</v>
      </c>
      <c r="B81" s="5">
        <v>2014</v>
      </c>
      <c r="C81" s="5">
        <v>47.22</v>
      </c>
      <c r="D81" s="5">
        <f>VLOOKUP(表1_[[#This Row],[地区]],Sheet2!A:B,2,0)</f>
        <v>230000</v>
      </c>
      <c r="E81" s="5">
        <f>表1_[[#This Row],[年份]]+表1_[[#This Row],[行政区划]]</f>
        <v>232014</v>
      </c>
    </row>
    <row r="82" spans="1:5" x14ac:dyDescent="0.3">
      <c r="A82" s="5" t="s">
        <v>310</v>
      </c>
      <c r="B82" s="5">
        <v>2023</v>
      </c>
      <c r="C82" s="5">
        <v>0.64</v>
      </c>
      <c r="D82" s="5">
        <f>VLOOKUP(表1_[[#This Row],[地区]],Sheet2!A:B,2,0)</f>
        <v>310000</v>
      </c>
      <c r="E82" s="5">
        <f>表1_[[#This Row],[年份]]+表1_[[#This Row],[行政区划]]</f>
        <v>312023</v>
      </c>
    </row>
    <row r="83" spans="1:5" x14ac:dyDescent="0.3">
      <c r="A83" s="5" t="s">
        <v>310</v>
      </c>
      <c r="B83" s="5">
        <v>2022</v>
      </c>
      <c r="C83" s="5">
        <v>0.67</v>
      </c>
      <c r="D83" s="5">
        <f>VLOOKUP(表1_[[#This Row],[地区]],Sheet2!A:B,2,0)</f>
        <v>310000</v>
      </c>
      <c r="E83" s="5">
        <f>表1_[[#This Row],[年份]]+表1_[[#This Row],[行政区划]]</f>
        <v>312022</v>
      </c>
    </row>
    <row r="84" spans="1:5" x14ac:dyDescent="0.3">
      <c r="A84" s="5" t="s">
        <v>310</v>
      </c>
      <c r="B84" s="5">
        <v>2021</v>
      </c>
      <c r="C84" s="5">
        <v>0.57999999999999996</v>
      </c>
      <c r="D84" s="5">
        <f>VLOOKUP(表1_[[#This Row],[地区]],Sheet2!A:B,2,0)</f>
        <v>310000</v>
      </c>
      <c r="E84" s="5">
        <f>表1_[[#This Row],[年份]]+表1_[[#This Row],[行政区划]]</f>
        <v>312021</v>
      </c>
    </row>
    <row r="85" spans="1:5" x14ac:dyDescent="0.3">
      <c r="A85" s="5" t="s">
        <v>310</v>
      </c>
      <c r="B85" s="5">
        <v>2020</v>
      </c>
      <c r="C85" s="5">
        <v>0.54</v>
      </c>
      <c r="D85" s="5">
        <f>VLOOKUP(表1_[[#This Row],[地区]],Sheet2!A:B,2,0)</f>
        <v>310000</v>
      </c>
      <c r="E85" s="5">
        <f>表1_[[#This Row],[年份]]+表1_[[#This Row],[行政区划]]</f>
        <v>312020</v>
      </c>
    </row>
    <row r="86" spans="1:5" x14ac:dyDescent="0.3">
      <c r="A86" s="5" t="s">
        <v>310</v>
      </c>
      <c r="B86" s="5">
        <v>2019</v>
      </c>
      <c r="C86" s="5">
        <v>0.75</v>
      </c>
      <c r="D86" s="5">
        <f>VLOOKUP(表1_[[#This Row],[地区]],Sheet2!A:B,2,0)</f>
        <v>310000</v>
      </c>
      <c r="E86" s="5">
        <f>表1_[[#This Row],[年份]]+表1_[[#This Row],[行政区划]]</f>
        <v>312019</v>
      </c>
    </row>
    <row r="87" spans="1:5" x14ac:dyDescent="0.3">
      <c r="A87" s="5" t="s">
        <v>310</v>
      </c>
      <c r="B87" s="5">
        <v>2018</v>
      </c>
      <c r="C87" s="5">
        <v>1.1100000000000001</v>
      </c>
      <c r="D87" s="5">
        <f>VLOOKUP(表1_[[#This Row],[地区]],Sheet2!A:B,2,0)</f>
        <v>310000</v>
      </c>
      <c r="E87" s="5">
        <f>表1_[[#This Row],[年份]]+表1_[[#This Row],[行政区划]]</f>
        <v>312018</v>
      </c>
    </row>
    <row r="88" spans="1:5" x14ac:dyDescent="0.3">
      <c r="A88" s="5" t="s">
        <v>310</v>
      </c>
      <c r="B88" s="5">
        <v>2017</v>
      </c>
      <c r="C88" s="5">
        <v>1.38</v>
      </c>
      <c r="D88" s="5">
        <f>VLOOKUP(表1_[[#This Row],[地区]],Sheet2!A:B,2,0)</f>
        <v>310000</v>
      </c>
      <c r="E88" s="5">
        <f>表1_[[#This Row],[年份]]+表1_[[#This Row],[行政区划]]</f>
        <v>312017</v>
      </c>
    </row>
    <row r="89" spans="1:5" x14ac:dyDescent="0.3">
      <c r="A89" s="5" t="s">
        <v>310</v>
      </c>
      <c r="B89" s="5">
        <v>2016</v>
      </c>
      <c r="C89" s="5">
        <v>6.5</v>
      </c>
      <c r="D89" s="5">
        <f>VLOOKUP(表1_[[#This Row],[地区]],Sheet2!A:B,2,0)</f>
        <v>310000</v>
      </c>
      <c r="E89" s="5">
        <f>表1_[[#This Row],[年份]]+表1_[[#This Row],[行政区划]]</f>
        <v>312016</v>
      </c>
    </row>
    <row r="90" spans="1:5" x14ac:dyDescent="0.3">
      <c r="A90" s="5" t="s">
        <v>310</v>
      </c>
      <c r="B90" s="5">
        <v>2015</v>
      </c>
      <c r="C90" s="5">
        <v>17.079999999999998</v>
      </c>
      <c r="D90" s="5">
        <f>VLOOKUP(表1_[[#This Row],[地区]],Sheet2!A:B,2,0)</f>
        <v>310000</v>
      </c>
      <c r="E90" s="5">
        <f>表1_[[#This Row],[年份]]+表1_[[#This Row],[行政区划]]</f>
        <v>312015</v>
      </c>
    </row>
    <row r="91" spans="1:5" x14ac:dyDescent="0.3">
      <c r="A91" s="5" t="s">
        <v>310</v>
      </c>
      <c r="B91" s="5">
        <v>2014</v>
      </c>
      <c r="C91" s="5">
        <v>18.809999999999999</v>
      </c>
      <c r="D91" s="5">
        <f>VLOOKUP(表1_[[#This Row],[地区]],Sheet2!A:B,2,0)</f>
        <v>310000</v>
      </c>
      <c r="E91" s="5">
        <f>表1_[[#This Row],[年份]]+表1_[[#This Row],[行政区划]]</f>
        <v>312014</v>
      </c>
    </row>
    <row r="92" spans="1:5" x14ac:dyDescent="0.3">
      <c r="A92" s="5" t="s">
        <v>311</v>
      </c>
      <c r="B92" s="5">
        <v>2023</v>
      </c>
      <c r="C92" s="5">
        <v>7.04</v>
      </c>
      <c r="D92" s="5">
        <f>VLOOKUP(表1_[[#This Row],[地区]],Sheet2!A:B,2,0)</f>
        <v>320000</v>
      </c>
      <c r="E92" s="5">
        <f>表1_[[#This Row],[年份]]+表1_[[#This Row],[行政区划]]</f>
        <v>322023</v>
      </c>
    </row>
    <row r="93" spans="1:5" x14ac:dyDescent="0.3">
      <c r="A93" s="5" t="s">
        <v>311</v>
      </c>
      <c r="B93" s="5">
        <v>2022</v>
      </c>
      <c r="C93" s="5">
        <v>7.48</v>
      </c>
      <c r="D93" s="5">
        <f>VLOOKUP(表1_[[#This Row],[地区]],Sheet2!A:B,2,0)</f>
        <v>320000</v>
      </c>
      <c r="E93" s="5">
        <f>表1_[[#This Row],[年份]]+表1_[[#This Row],[行政区划]]</f>
        <v>322022</v>
      </c>
    </row>
    <row r="94" spans="1:5" x14ac:dyDescent="0.3">
      <c r="A94" s="5" t="s">
        <v>311</v>
      </c>
      <c r="B94" s="5">
        <v>2021</v>
      </c>
      <c r="C94" s="5">
        <v>8.86</v>
      </c>
      <c r="D94" s="5">
        <f>VLOOKUP(表1_[[#This Row],[地区]],Sheet2!A:B,2,0)</f>
        <v>320000</v>
      </c>
      <c r="E94" s="5">
        <f>表1_[[#This Row],[年份]]+表1_[[#This Row],[行政区划]]</f>
        <v>322021</v>
      </c>
    </row>
    <row r="95" spans="1:5" x14ac:dyDescent="0.3">
      <c r="A95" s="5" t="s">
        <v>311</v>
      </c>
      <c r="B95" s="5">
        <v>2020</v>
      </c>
      <c r="C95" s="5">
        <v>11.26</v>
      </c>
      <c r="D95" s="5">
        <f>VLOOKUP(表1_[[#This Row],[地区]],Sheet2!A:B,2,0)</f>
        <v>320000</v>
      </c>
      <c r="E95" s="5">
        <f>表1_[[#This Row],[年份]]+表1_[[#This Row],[行政区划]]</f>
        <v>322020</v>
      </c>
    </row>
    <row r="96" spans="1:5" x14ac:dyDescent="0.3">
      <c r="A96" s="5" t="s">
        <v>311</v>
      </c>
      <c r="B96" s="5">
        <v>2019</v>
      </c>
      <c r="C96" s="5">
        <v>28.46</v>
      </c>
      <c r="D96" s="5">
        <f>VLOOKUP(表1_[[#This Row],[地区]],Sheet2!A:B,2,0)</f>
        <v>320000</v>
      </c>
      <c r="E96" s="5">
        <f>表1_[[#This Row],[年份]]+表1_[[#This Row],[行政区划]]</f>
        <v>322019</v>
      </c>
    </row>
    <row r="97" spans="1:5" x14ac:dyDescent="0.3">
      <c r="A97" s="5" t="s">
        <v>311</v>
      </c>
      <c r="B97" s="5">
        <v>2018</v>
      </c>
      <c r="C97" s="5">
        <v>31.68</v>
      </c>
      <c r="D97" s="5">
        <f>VLOOKUP(表1_[[#This Row],[地区]],Sheet2!A:B,2,0)</f>
        <v>320000</v>
      </c>
      <c r="E97" s="5">
        <f>表1_[[#This Row],[年份]]+表1_[[#This Row],[行政区划]]</f>
        <v>322018</v>
      </c>
    </row>
    <row r="98" spans="1:5" x14ac:dyDescent="0.3">
      <c r="A98" s="5" t="s">
        <v>311</v>
      </c>
      <c r="B98" s="5">
        <v>2017</v>
      </c>
      <c r="C98" s="5">
        <v>38.32</v>
      </c>
      <c r="D98" s="5">
        <f>VLOOKUP(表1_[[#This Row],[地区]],Sheet2!A:B,2,0)</f>
        <v>320000</v>
      </c>
      <c r="E98" s="5">
        <f>表1_[[#This Row],[年份]]+表1_[[#This Row],[行政区划]]</f>
        <v>322017</v>
      </c>
    </row>
    <row r="99" spans="1:5" x14ac:dyDescent="0.3">
      <c r="A99" s="5" t="s">
        <v>311</v>
      </c>
      <c r="B99" s="5">
        <v>2016</v>
      </c>
      <c r="C99" s="5">
        <v>57.8</v>
      </c>
      <c r="D99" s="5">
        <f>VLOOKUP(表1_[[#This Row],[地区]],Sheet2!A:B,2,0)</f>
        <v>320000</v>
      </c>
      <c r="E99" s="5">
        <f>表1_[[#This Row],[年份]]+表1_[[#This Row],[行政区划]]</f>
        <v>322016</v>
      </c>
    </row>
    <row r="100" spans="1:5" x14ac:dyDescent="0.3">
      <c r="A100" s="5" t="s">
        <v>311</v>
      </c>
      <c r="B100" s="5">
        <v>2015</v>
      </c>
      <c r="C100" s="5">
        <v>83.51</v>
      </c>
      <c r="D100" s="5">
        <f>VLOOKUP(表1_[[#This Row],[地区]],Sheet2!A:B,2,0)</f>
        <v>320000</v>
      </c>
      <c r="E100" s="5">
        <f>表1_[[#This Row],[年份]]+表1_[[#This Row],[行政区划]]</f>
        <v>322015</v>
      </c>
    </row>
    <row r="101" spans="1:5" x14ac:dyDescent="0.3">
      <c r="A101" s="5" t="s">
        <v>311</v>
      </c>
      <c r="B101" s="5">
        <v>2014</v>
      </c>
      <c r="C101" s="5">
        <v>90.47</v>
      </c>
      <c r="D101" s="5">
        <f>VLOOKUP(表1_[[#This Row],[地区]],Sheet2!A:B,2,0)</f>
        <v>320000</v>
      </c>
      <c r="E101" s="5">
        <f>表1_[[#This Row],[年份]]+表1_[[#This Row],[行政区划]]</f>
        <v>322014</v>
      </c>
    </row>
    <row r="102" spans="1:5" x14ac:dyDescent="0.3">
      <c r="A102" s="5" t="s">
        <v>312</v>
      </c>
      <c r="B102" s="5">
        <v>2023</v>
      </c>
      <c r="C102" s="5">
        <v>3.82</v>
      </c>
      <c r="D102" s="5">
        <f>VLOOKUP(表1_[[#This Row],[地区]],Sheet2!A:B,2,0)</f>
        <v>330000</v>
      </c>
      <c r="E102" s="5">
        <f>表1_[[#This Row],[年份]]+表1_[[#This Row],[行政区划]]</f>
        <v>332023</v>
      </c>
    </row>
    <row r="103" spans="1:5" x14ac:dyDescent="0.3">
      <c r="A103" s="5" t="s">
        <v>312</v>
      </c>
      <c r="B103" s="5">
        <v>2022</v>
      </c>
      <c r="C103" s="5">
        <v>4.0599999999999996</v>
      </c>
      <c r="D103" s="5">
        <f>VLOOKUP(表1_[[#This Row],[地区]],Sheet2!A:B,2,0)</f>
        <v>330000</v>
      </c>
      <c r="E103" s="5">
        <f>表1_[[#This Row],[年份]]+表1_[[#This Row],[行政区划]]</f>
        <v>332022</v>
      </c>
    </row>
    <row r="104" spans="1:5" x14ac:dyDescent="0.3">
      <c r="A104" s="5" t="s">
        <v>312</v>
      </c>
      <c r="B104" s="5">
        <v>2021</v>
      </c>
      <c r="C104" s="5">
        <v>4.33</v>
      </c>
      <c r="D104" s="5">
        <f>VLOOKUP(表1_[[#This Row],[地区]],Sheet2!A:B,2,0)</f>
        <v>330000</v>
      </c>
      <c r="E104" s="5">
        <f>表1_[[#This Row],[年份]]+表1_[[#This Row],[行政区划]]</f>
        <v>332021</v>
      </c>
    </row>
    <row r="105" spans="1:5" x14ac:dyDescent="0.3">
      <c r="A105" s="5" t="s">
        <v>312</v>
      </c>
      <c r="B105" s="5">
        <v>2020</v>
      </c>
      <c r="C105" s="5">
        <v>5.15</v>
      </c>
      <c r="D105" s="5">
        <f>VLOOKUP(表1_[[#This Row],[地区]],Sheet2!A:B,2,0)</f>
        <v>330000</v>
      </c>
      <c r="E105" s="5">
        <f>表1_[[#This Row],[年份]]+表1_[[#This Row],[行政区划]]</f>
        <v>332020</v>
      </c>
    </row>
    <row r="106" spans="1:5" x14ac:dyDescent="0.3">
      <c r="A106" s="5" t="s">
        <v>312</v>
      </c>
      <c r="B106" s="5">
        <v>2019</v>
      </c>
      <c r="C106" s="5">
        <v>7.78</v>
      </c>
      <c r="D106" s="5">
        <f>VLOOKUP(表1_[[#This Row],[地区]],Sheet2!A:B,2,0)</f>
        <v>330000</v>
      </c>
      <c r="E106" s="5">
        <f>表1_[[#This Row],[年份]]+表1_[[#This Row],[行政区划]]</f>
        <v>332019</v>
      </c>
    </row>
    <row r="107" spans="1:5" x14ac:dyDescent="0.3">
      <c r="A107" s="5" t="s">
        <v>312</v>
      </c>
      <c r="B107" s="5">
        <v>2018</v>
      </c>
      <c r="C107" s="5">
        <v>8.69</v>
      </c>
      <c r="D107" s="5">
        <f>VLOOKUP(表1_[[#This Row],[地区]],Sheet2!A:B,2,0)</f>
        <v>330000</v>
      </c>
      <c r="E107" s="5">
        <f>表1_[[#This Row],[年份]]+表1_[[#This Row],[行政区划]]</f>
        <v>332018</v>
      </c>
    </row>
    <row r="108" spans="1:5" x14ac:dyDescent="0.3">
      <c r="A108" s="5" t="s">
        <v>312</v>
      </c>
      <c r="B108" s="5">
        <v>2017</v>
      </c>
      <c r="C108" s="5">
        <v>11.18</v>
      </c>
      <c r="D108" s="5">
        <f>VLOOKUP(表1_[[#This Row],[地区]],Sheet2!A:B,2,0)</f>
        <v>330000</v>
      </c>
      <c r="E108" s="5">
        <f>表1_[[#This Row],[年份]]+表1_[[#This Row],[行政区划]]</f>
        <v>332017</v>
      </c>
    </row>
    <row r="109" spans="1:5" x14ac:dyDescent="0.3">
      <c r="A109" s="5" t="s">
        <v>312</v>
      </c>
      <c r="B109" s="5">
        <v>2016</v>
      </c>
      <c r="C109" s="5">
        <v>13.33</v>
      </c>
      <c r="D109" s="5">
        <f>VLOOKUP(表1_[[#This Row],[地区]],Sheet2!A:B,2,0)</f>
        <v>330000</v>
      </c>
      <c r="E109" s="5">
        <f>表1_[[#This Row],[年份]]+表1_[[#This Row],[行政区划]]</f>
        <v>332016</v>
      </c>
    </row>
    <row r="110" spans="1:5" x14ac:dyDescent="0.3">
      <c r="A110" s="5" t="s">
        <v>312</v>
      </c>
      <c r="B110" s="5">
        <v>2015</v>
      </c>
      <c r="C110" s="5">
        <v>53.78</v>
      </c>
      <c r="D110" s="5">
        <f>VLOOKUP(表1_[[#This Row],[地区]],Sheet2!A:B,2,0)</f>
        <v>330000</v>
      </c>
      <c r="E110" s="5">
        <f>表1_[[#This Row],[年份]]+表1_[[#This Row],[行政区划]]</f>
        <v>332015</v>
      </c>
    </row>
    <row r="111" spans="1:5" x14ac:dyDescent="0.3">
      <c r="A111" s="5" t="s">
        <v>312</v>
      </c>
      <c r="B111" s="5">
        <v>2014</v>
      </c>
      <c r="C111" s="5">
        <v>57.4</v>
      </c>
      <c r="D111" s="5">
        <f>VLOOKUP(表1_[[#This Row],[地区]],Sheet2!A:B,2,0)</f>
        <v>330000</v>
      </c>
      <c r="E111" s="5">
        <f>表1_[[#This Row],[年份]]+表1_[[#This Row],[行政区划]]</f>
        <v>332014</v>
      </c>
    </row>
    <row r="112" spans="1:5" x14ac:dyDescent="0.3">
      <c r="A112" s="5" t="s">
        <v>313</v>
      </c>
      <c r="B112" s="5">
        <v>2023</v>
      </c>
      <c r="C112" s="5">
        <v>7.29</v>
      </c>
      <c r="D112" s="5">
        <f>VLOOKUP(表1_[[#This Row],[地区]],Sheet2!A:B,2,0)</f>
        <v>340000</v>
      </c>
      <c r="E112" s="5">
        <f>表1_[[#This Row],[年份]]+表1_[[#This Row],[行政区划]]</f>
        <v>342023</v>
      </c>
    </row>
    <row r="113" spans="1:5" x14ac:dyDescent="0.3">
      <c r="A113" s="5" t="s">
        <v>313</v>
      </c>
      <c r="B113" s="5">
        <v>2022</v>
      </c>
      <c r="C113" s="5">
        <v>7.11</v>
      </c>
      <c r="D113" s="5">
        <f>VLOOKUP(表1_[[#This Row],[地区]],Sheet2!A:B,2,0)</f>
        <v>340000</v>
      </c>
      <c r="E113" s="5">
        <f>表1_[[#This Row],[年份]]+表1_[[#This Row],[行政区划]]</f>
        <v>342022</v>
      </c>
    </row>
    <row r="114" spans="1:5" x14ac:dyDescent="0.3">
      <c r="A114" s="5" t="s">
        <v>313</v>
      </c>
      <c r="B114" s="5">
        <v>2021</v>
      </c>
      <c r="C114" s="5">
        <v>8.5500000000000007</v>
      </c>
      <c r="D114" s="5">
        <f>VLOOKUP(表1_[[#This Row],[地区]],Sheet2!A:B,2,0)</f>
        <v>340000</v>
      </c>
      <c r="E114" s="5">
        <f>表1_[[#This Row],[年份]]+表1_[[#This Row],[行政区划]]</f>
        <v>342021</v>
      </c>
    </row>
    <row r="115" spans="1:5" x14ac:dyDescent="0.3">
      <c r="A115" s="5" t="s">
        <v>313</v>
      </c>
      <c r="B115" s="5">
        <v>2020</v>
      </c>
      <c r="C115" s="5">
        <v>10.86</v>
      </c>
      <c r="D115" s="5">
        <f>VLOOKUP(表1_[[#This Row],[地区]],Sheet2!A:B,2,0)</f>
        <v>340000</v>
      </c>
      <c r="E115" s="5">
        <f>表1_[[#This Row],[年份]]+表1_[[#This Row],[行政区划]]</f>
        <v>342020</v>
      </c>
    </row>
    <row r="116" spans="1:5" x14ac:dyDescent="0.3">
      <c r="A116" s="5" t="s">
        <v>313</v>
      </c>
      <c r="B116" s="5">
        <v>2019</v>
      </c>
      <c r="C116" s="5">
        <v>15.1</v>
      </c>
      <c r="D116" s="5">
        <f>VLOOKUP(表1_[[#This Row],[地区]],Sheet2!A:B,2,0)</f>
        <v>340000</v>
      </c>
      <c r="E116" s="5">
        <f>表1_[[#This Row],[年份]]+表1_[[#This Row],[行政区划]]</f>
        <v>342019</v>
      </c>
    </row>
    <row r="117" spans="1:5" x14ac:dyDescent="0.3">
      <c r="A117" s="5" t="s">
        <v>313</v>
      </c>
      <c r="B117" s="5">
        <v>2018</v>
      </c>
      <c r="C117" s="5">
        <v>16.27</v>
      </c>
      <c r="D117" s="5">
        <f>VLOOKUP(表1_[[#This Row],[地区]],Sheet2!A:B,2,0)</f>
        <v>340000</v>
      </c>
      <c r="E117" s="5">
        <f>表1_[[#This Row],[年份]]+表1_[[#This Row],[行政区划]]</f>
        <v>342018</v>
      </c>
    </row>
    <row r="118" spans="1:5" x14ac:dyDescent="0.3">
      <c r="A118" s="5" t="s">
        <v>313</v>
      </c>
      <c r="B118" s="5">
        <v>2017</v>
      </c>
      <c r="C118" s="5">
        <v>19.54</v>
      </c>
      <c r="D118" s="5">
        <f>VLOOKUP(表1_[[#This Row],[地区]],Sheet2!A:B,2,0)</f>
        <v>340000</v>
      </c>
      <c r="E118" s="5">
        <f>表1_[[#This Row],[年份]]+表1_[[#This Row],[行政区划]]</f>
        <v>342017</v>
      </c>
    </row>
    <row r="119" spans="1:5" x14ac:dyDescent="0.3">
      <c r="A119" s="5" t="s">
        <v>313</v>
      </c>
      <c r="B119" s="5">
        <v>2016</v>
      </c>
      <c r="C119" s="5">
        <v>27.2</v>
      </c>
      <c r="D119" s="5">
        <f>VLOOKUP(表1_[[#This Row],[地区]],Sheet2!A:B,2,0)</f>
        <v>340000</v>
      </c>
      <c r="E119" s="5">
        <f>表1_[[#This Row],[年份]]+表1_[[#This Row],[行政区划]]</f>
        <v>342016</v>
      </c>
    </row>
    <row r="120" spans="1:5" x14ac:dyDescent="0.3">
      <c r="A120" s="5" t="s">
        <v>313</v>
      </c>
      <c r="B120" s="5">
        <v>2015</v>
      </c>
      <c r="C120" s="5">
        <v>48.01</v>
      </c>
      <c r="D120" s="5">
        <f>VLOOKUP(表1_[[#This Row],[地区]],Sheet2!A:B,2,0)</f>
        <v>340000</v>
      </c>
      <c r="E120" s="5">
        <f>表1_[[#This Row],[年份]]+表1_[[#This Row],[行政区划]]</f>
        <v>342015</v>
      </c>
    </row>
    <row r="121" spans="1:5" x14ac:dyDescent="0.3">
      <c r="A121" s="5" t="s">
        <v>313</v>
      </c>
      <c r="B121" s="5">
        <v>2014</v>
      </c>
      <c r="C121" s="5">
        <v>49.3</v>
      </c>
      <c r="D121" s="5">
        <f>VLOOKUP(表1_[[#This Row],[地区]],Sheet2!A:B,2,0)</f>
        <v>340000</v>
      </c>
      <c r="E121" s="5">
        <f>表1_[[#This Row],[年份]]+表1_[[#This Row],[行政区划]]</f>
        <v>342014</v>
      </c>
    </row>
    <row r="122" spans="1:5" x14ac:dyDescent="0.3">
      <c r="A122" s="5" t="s">
        <v>314</v>
      </c>
      <c r="B122" s="5">
        <v>2023</v>
      </c>
      <c r="C122" s="5">
        <v>5.69</v>
      </c>
      <c r="D122" s="5">
        <f>VLOOKUP(表1_[[#This Row],[地区]],Sheet2!A:B,2,0)</f>
        <v>350000</v>
      </c>
      <c r="E122" s="5">
        <f>表1_[[#This Row],[年份]]+表1_[[#This Row],[行政区划]]</f>
        <v>352023</v>
      </c>
    </row>
    <row r="123" spans="1:5" x14ac:dyDescent="0.3">
      <c r="A123" s="5" t="s">
        <v>314</v>
      </c>
      <c r="B123" s="5">
        <v>2022</v>
      </c>
      <c r="C123" s="5">
        <v>6</v>
      </c>
      <c r="D123" s="5">
        <f>VLOOKUP(表1_[[#This Row],[地区]],Sheet2!A:B,2,0)</f>
        <v>350000</v>
      </c>
      <c r="E123" s="5">
        <f>表1_[[#This Row],[年份]]+表1_[[#This Row],[行政区划]]</f>
        <v>352022</v>
      </c>
    </row>
    <row r="124" spans="1:5" x14ac:dyDescent="0.3">
      <c r="A124" s="5" t="s">
        <v>314</v>
      </c>
      <c r="B124" s="5">
        <v>2021</v>
      </c>
      <c r="C124" s="5">
        <v>6.51</v>
      </c>
      <c r="D124" s="5">
        <f>VLOOKUP(表1_[[#This Row],[地区]],Sheet2!A:B,2,0)</f>
        <v>350000</v>
      </c>
      <c r="E124" s="5">
        <f>表1_[[#This Row],[年份]]+表1_[[#This Row],[行政区划]]</f>
        <v>352021</v>
      </c>
    </row>
    <row r="125" spans="1:5" x14ac:dyDescent="0.3">
      <c r="A125" s="5" t="s">
        <v>314</v>
      </c>
      <c r="B125" s="5">
        <v>2020</v>
      </c>
      <c r="C125" s="5">
        <v>7.88</v>
      </c>
      <c r="D125" s="5">
        <f>VLOOKUP(表1_[[#This Row],[地区]],Sheet2!A:B,2,0)</f>
        <v>350000</v>
      </c>
      <c r="E125" s="5">
        <f>表1_[[#This Row],[年份]]+表1_[[#This Row],[行政区划]]</f>
        <v>352020</v>
      </c>
    </row>
    <row r="126" spans="1:5" x14ac:dyDescent="0.3">
      <c r="A126" s="5" t="s">
        <v>314</v>
      </c>
      <c r="B126" s="5">
        <v>2019</v>
      </c>
      <c r="C126" s="5">
        <v>12.54</v>
      </c>
      <c r="D126" s="5">
        <f>VLOOKUP(表1_[[#This Row],[地区]],Sheet2!A:B,2,0)</f>
        <v>350000</v>
      </c>
      <c r="E126" s="5">
        <f>表1_[[#This Row],[年份]]+表1_[[#This Row],[行政区划]]</f>
        <v>352019</v>
      </c>
    </row>
    <row r="127" spans="1:5" x14ac:dyDescent="0.3">
      <c r="A127" s="5" t="s">
        <v>314</v>
      </c>
      <c r="B127" s="5">
        <v>2018</v>
      </c>
      <c r="C127" s="5">
        <v>10.85</v>
      </c>
      <c r="D127" s="5">
        <f>VLOOKUP(表1_[[#This Row],[地区]],Sheet2!A:B,2,0)</f>
        <v>350000</v>
      </c>
      <c r="E127" s="5">
        <f>表1_[[#This Row],[年份]]+表1_[[#This Row],[行政区划]]</f>
        <v>352018</v>
      </c>
    </row>
    <row r="128" spans="1:5" x14ac:dyDescent="0.3">
      <c r="A128" s="5" t="s">
        <v>314</v>
      </c>
      <c r="B128" s="5">
        <v>2017</v>
      </c>
      <c r="C128" s="5">
        <v>11.95</v>
      </c>
      <c r="D128" s="5">
        <f>VLOOKUP(表1_[[#This Row],[地区]],Sheet2!A:B,2,0)</f>
        <v>350000</v>
      </c>
      <c r="E128" s="5">
        <f>表1_[[#This Row],[年份]]+表1_[[#This Row],[行政区划]]</f>
        <v>352017</v>
      </c>
    </row>
    <row r="129" spans="1:5" x14ac:dyDescent="0.3">
      <c r="A129" s="5" t="s">
        <v>314</v>
      </c>
      <c r="B129" s="5">
        <v>2016</v>
      </c>
      <c r="C129" s="5">
        <v>24.16</v>
      </c>
      <c r="D129" s="5">
        <f>VLOOKUP(表1_[[#This Row],[地区]],Sheet2!A:B,2,0)</f>
        <v>350000</v>
      </c>
      <c r="E129" s="5">
        <f>表1_[[#This Row],[年份]]+表1_[[#This Row],[行政区划]]</f>
        <v>352016</v>
      </c>
    </row>
    <row r="130" spans="1:5" x14ac:dyDescent="0.3">
      <c r="A130" s="5" t="s">
        <v>314</v>
      </c>
      <c r="B130" s="5">
        <v>2015</v>
      </c>
      <c r="C130" s="5">
        <v>33.79</v>
      </c>
      <c r="D130" s="5">
        <f>VLOOKUP(表1_[[#This Row],[地区]],Sheet2!A:B,2,0)</f>
        <v>350000</v>
      </c>
      <c r="E130" s="5">
        <f>表1_[[#This Row],[年份]]+表1_[[#This Row],[行政区划]]</f>
        <v>352015</v>
      </c>
    </row>
    <row r="131" spans="1:5" x14ac:dyDescent="0.3">
      <c r="A131" s="5" t="s">
        <v>314</v>
      </c>
      <c r="B131" s="5">
        <v>2014</v>
      </c>
      <c r="C131" s="5">
        <v>35.6</v>
      </c>
      <c r="D131" s="5">
        <f>VLOOKUP(表1_[[#This Row],[地区]],Sheet2!A:B,2,0)</f>
        <v>350000</v>
      </c>
      <c r="E131" s="5">
        <f>表1_[[#This Row],[年份]]+表1_[[#This Row],[行政区划]]</f>
        <v>352014</v>
      </c>
    </row>
    <row r="132" spans="1:5" x14ac:dyDescent="0.3">
      <c r="A132" s="5" t="s">
        <v>315</v>
      </c>
      <c r="B132" s="5">
        <v>2023</v>
      </c>
      <c r="C132" s="5">
        <v>6.4</v>
      </c>
      <c r="D132" s="5">
        <f>VLOOKUP(表1_[[#This Row],[地区]],Sheet2!A:B,2,0)</f>
        <v>360000</v>
      </c>
      <c r="E132" s="5">
        <f>表1_[[#This Row],[年份]]+表1_[[#This Row],[行政区划]]</f>
        <v>362023</v>
      </c>
    </row>
    <row r="133" spans="1:5" x14ac:dyDescent="0.3">
      <c r="A133" s="5" t="s">
        <v>315</v>
      </c>
      <c r="B133" s="5">
        <v>2022</v>
      </c>
      <c r="C133" s="5">
        <v>7.6</v>
      </c>
      <c r="D133" s="5">
        <f>VLOOKUP(表1_[[#This Row],[地区]],Sheet2!A:B,2,0)</f>
        <v>360000</v>
      </c>
      <c r="E133" s="5">
        <f>表1_[[#This Row],[年份]]+表1_[[#This Row],[行政区划]]</f>
        <v>362022</v>
      </c>
    </row>
    <row r="134" spans="1:5" x14ac:dyDescent="0.3">
      <c r="A134" s="5" t="s">
        <v>315</v>
      </c>
      <c r="B134" s="5">
        <v>2021</v>
      </c>
      <c r="C134" s="5">
        <v>8.75</v>
      </c>
      <c r="D134" s="5">
        <f>VLOOKUP(表1_[[#This Row],[地区]],Sheet2!A:B,2,0)</f>
        <v>360000</v>
      </c>
      <c r="E134" s="5">
        <f>表1_[[#This Row],[年份]]+表1_[[#This Row],[行政区划]]</f>
        <v>362021</v>
      </c>
    </row>
    <row r="135" spans="1:5" x14ac:dyDescent="0.3">
      <c r="A135" s="5" t="s">
        <v>315</v>
      </c>
      <c r="B135" s="5">
        <v>2020</v>
      </c>
      <c r="C135" s="5">
        <v>10.25</v>
      </c>
      <c r="D135" s="5">
        <f>VLOOKUP(表1_[[#This Row],[地区]],Sheet2!A:B,2,0)</f>
        <v>360000</v>
      </c>
      <c r="E135" s="5">
        <f>表1_[[#This Row],[年份]]+表1_[[#This Row],[行政区划]]</f>
        <v>362020</v>
      </c>
    </row>
    <row r="136" spans="1:5" x14ac:dyDescent="0.3">
      <c r="A136" s="5" t="s">
        <v>315</v>
      </c>
      <c r="B136" s="5">
        <v>2019</v>
      </c>
      <c r="C136" s="5">
        <v>22.71</v>
      </c>
      <c r="D136" s="5">
        <f>VLOOKUP(表1_[[#This Row],[地区]],Sheet2!A:B,2,0)</f>
        <v>360000</v>
      </c>
      <c r="E136" s="5">
        <f>表1_[[#This Row],[年份]]+表1_[[#This Row],[行政区划]]</f>
        <v>362019</v>
      </c>
    </row>
    <row r="137" spans="1:5" x14ac:dyDescent="0.3">
      <c r="A137" s="5" t="s">
        <v>315</v>
      </c>
      <c r="B137" s="5">
        <v>2018</v>
      </c>
      <c r="C137" s="5">
        <v>24.94</v>
      </c>
      <c r="D137" s="5">
        <f>VLOOKUP(表1_[[#This Row],[地区]],Sheet2!A:B,2,0)</f>
        <v>360000</v>
      </c>
      <c r="E137" s="5">
        <f>表1_[[#This Row],[年份]]+表1_[[#This Row],[行政区划]]</f>
        <v>362018</v>
      </c>
    </row>
    <row r="138" spans="1:5" x14ac:dyDescent="0.3">
      <c r="A138" s="5" t="s">
        <v>315</v>
      </c>
      <c r="B138" s="5">
        <v>2017</v>
      </c>
      <c r="C138" s="5">
        <v>31.72</v>
      </c>
      <c r="D138" s="5">
        <f>VLOOKUP(表1_[[#This Row],[地区]],Sheet2!A:B,2,0)</f>
        <v>360000</v>
      </c>
      <c r="E138" s="5">
        <f>表1_[[#This Row],[年份]]+表1_[[#This Row],[行政区划]]</f>
        <v>362017</v>
      </c>
    </row>
    <row r="139" spans="1:5" x14ac:dyDescent="0.3">
      <c r="A139" s="5" t="s">
        <v>315</v>
      </c>
      <c r="B139" s="5">
        <v>2016</v>
      </c>
      <c r="C139" s="5">
        <v>45.81</v>
      </c>
      <c r="D139" s="5">
        <f>VLOOKUP(表1_[[#This Row],[地区]],Sheet2!A:B,2,0)</f>
        <v>360000</v>
      </c>
      <c r="E139" s="5">
        <f>表1_[[#This Row],[年份]]+表1_[[#This Row],[行政区划]]</f>
        <v>362016</v>
      </c>
    </row>
    <row r="140" spans="1:5" x14ac:dyDescent="0.3">
      <c r="A140" s="5" t="s">
        <v>315</v>
      </c>
      <c r="B140" s="5">
        <v>2015</v>
      </c>
      <c r="C140" s="5">
        <v>52.81</v>
      </c>
      <c r="D140" s="5">
        <f>VLOOKUP(表1_[[#This Row],[地区]],Sheet2!A:B,2,0)</f>
        <v>360000</v>
      </c>
      <c r="E140" s="5">
        <f>表1_[[#This Row],[年份]]+表1_[[#This Row],[行政区划]]</f>
        <v>362015</v>
      </c>
    </row>
    <row r="141" spans="1:5" x14ac:dyDescent="0.3">
      <c r="A141" s="5" t="s">
        <v>315</v>
      </c>
      <c r="B141" s="5">
        <v>2014</v>
      </c>
      <c r="C141" s="5">
        <v>53.44</v>
      </c>
      <c r="D141" s="5">
        <f>VLOOKUP(表1_[[#This Row],[地区]],Sheet2!A:B,2,0)</f>
        <v>360000</v>
      </c>
      <c r="E141" s="5">
        <f>表1_[[#This Row],[年份]]+表1_[[#This Row],[行政区划]]</f>
        <v>362014</v>
      </c>
    </row>
    <row r="142" spans="1:5" x14ac:dyDescent="0.3">
      <c r="A142" s="5" t="s">
        <v>316</v>
      </c>
      <c r="B142" s="5">
        <v>2023</v>
      </c>
      <c r="C142" s="5">
        <v>13.45</v>
      </c>
      <c r="D142" s="5">
        <f>VLOOKUP(表1_[[#This Row],[地区]],Sheet2!A:B,2,0)</f>
        <v>370000</v>
      </c>
      <c r="E142" s="5">
        <f>表1_[[#This Row],[年份]]+表1_[[#This Row],[行政区划]]</f>
        <v>372023</v>
      </c>
    </row>
    <row r="143" spans="1:5" x14ac:dyDescent="0.3">
      <c r="A143" s="5" t="s">
        <v>316</v>
      </c>
      <c r="B143" s="5">
        <v>2022</v>
      </c>
      <c r="C143" s="5">
        <v>14.59</v>
      </c>
      <c r="D143" s="5">
        <f>VLOOKUP(表1_[[#This Row],[地区]],Sheet2!A:B,2,0)</f>
        <v>370000</v>
      </c>
      <c r="E143" s="5">
        <f>表1_[[#This Row],[年份]]+表1_[[#This Row],[行政区划]]</f>
        <v>372022</v>
      </c>
    </row>
    <row r="144" spans="1:5" x14ac:dyDescent="0.3">
      <c r="A144" s="5" t="s">
        <v>316</v>
      </c>
      <c r="B144" s="5">
        <v>2021</v>
      </c>
      <c r="C144" s="5">
        <v>16.53</v>
      </c>
      <c r="D144" s="5">
        <f>VLOOKUP(表1_[[#This Row],[地区]],Sheet2!A:B,2,0)</f>
        <v>370000</v>
      </c>
      <c r="E144" s="5">
        <f>表1_[[#This Row],[年份]]+表1_[[#This Row],[行政区划]]</f>
        <v>372021</v>
      </c>
    </row>
    <row r="145" spans="1:5" x14ac:dyDescent="0.3">
      <c r="A145" s="5" t="s">
        <v>316</v>
      </c>
      <c r="B145" s="5">
        <v>2020</v>
      </c>
      <c r="C145" s="5">
        <v>19.329999999999998</v>
      </c>
      <c r="D145" s="5">
        <f>VLOOKUP(表1_[[#This Row],[地区]],Sheet2!A:B,2,0)</f>
        <v>370000</v>
      </c>
      <c r="E145" s="5">
        <f>表1_[[#This Row],[年份]]+表1_[[#This Row],[行政区划]]</f>
        <v>372020</v>
      </c>
    </row>
    <row r="146" spans="1:5" x14ac:dyDescent="0.3">
      <c r="A146" s="5" t="s">
        <v>316</v>
      </c>
      <c r="B146" s="5">
        <v>2019</v>
      </c>
      <c r="C146" s="5">
        <v>28.15</v>
      </c>
      <c r="D146" s="5">
        <f>VLOOKUP(表1_[[#This Row],[地区]],Sheet2!A:B,2,0)</f>
        <v>370000</v>
      </c>
      <c r="E146" s="5">
        <f>表1_[[#This Row],[年份]]+表1_[[#This Row],[行政区划]]</f>
        <v>372019</v>
      </c>
    </row>
    <row r="147" spans="1:5" x14ac:dyDescent="0.3">
      <c r="A147" s="5" t="s">
        <v>316</v>
      </c>
      <c r="B147" s="5">
        <v>2018</v>
      </c>
      <c r="C147" s="5">
        <v>34.130000000000003</v>
      </c>
      <c r="D147" s="5">
        <f>VLOOKUP(表1_[[#This Row],[地区]],Sheet2!A:B,2,0)</f>
        <v>370000</v>
      </c>
      <c r="E147" s="5">
        <f>表1_[[#This Row],[年份]]+表1_[[#This Row],[行政区划]]</f>
        <v>372018</v>
      </c>
    </row>
    <row r="148" spans="1:5" x14ac:dyDescent="0.3">
      <c r="A148" s="5" t="s">
        <v>316</v>
      </c>
      <c r="B148" s="5">
        <v>2017</v>
      </c>
      <c r="C148" s="5">
        <v>41.63</v>
      </c>
      <c r="D148" s="5">
        <f>VLOOKUP(表1_[[#This Row],[地区]],Sheet2!A:B,2,0)</f>
        <v>370000</v>
      </c>
      <c r="E148" s="5">
        <f>表1_[[#This Row],[年份]]+表1_[[#This Row],[行政区划]]</f>
        <v>372017</v>
      </c>
    </row>
    <row r="149" spans="1:5" x14ac:dyDescent="0.3">
      <c r="A149" s="5" t="s">
        <v>316</v>
      </c>
      <c r="B149" s="5">
        <v>2016</v>
      </c>
      <c r="C149" s="5">
        <v>72.98</v>
      </c>
      <c r="D149" s="5">
        <f>VLOOKUP(表1_[[#This Row],[地区]],Sheet2!A:B,2,0)</f>
        <v>370000</v>
      </c>
      <c r="E149" s="5">
        <f>表1_[[#This Row],[年份]]+表1_[[#This Row],[行政区划]]</f>
        <v>372016</v>
      </c>
    </row>
    <row r="150" spans="1:5" x14ac:dyDescent="0.3">
      <c r="A150" s="5" t="s">
        <v>316</v>
      </c>
      <c r="B150" s="5">
        <v>2015</v>
      </c>
      <c r="C150" s="5">
        <v>152.57</v>
      </c>
      <c r="D150" s="5">
        <f>VLOOKUP(表1_[[#This Row],[地区]],Sheet2!A:B,2,0)</f>
        <v>370000</v>
      </c>
      <c r="E150" s="5">
        <f>表1_[[#This Row],[年份]]+表1_[[#This Row],[行政区划]]</f>
        <v>372015</v>
      </c>
    </row>
    <row r="151" spans="1:5" x14ac:dyDescent="0.3">
      <c r="A151" s="5" t="s">
        <v>316</v>
      </c>
      <c r="B151" s="5">
        <v>2014</v>
      </c>
      <c r="C151" s="5">
        <v>159.02000000000001</v>
      </c>
      <c r="D151" s="5">
        <f>VLOOKUP(表1_[[#This Row],[地区]],Sheet2!A:B,2,0)</f>
        <v>370000</v>
      </c>
      <c r="E151" s="5">
        <f>表1_[[#This Row],[年份]]+表1_[[#This Row],[行政区划]]</f>
        <v>372014</v>
      </c>
    </row>
    <row r="152" spans="1:5" x14ac:dyDescent="0.3">
      <c r="A152" s="5" t="s">
        <v>317</v>
      </c>
      <c r="B152" s="5">
        <v>2023</v>
      </c>
      <c r="C152" s="5">
        <v>6.04</v>
      </c>
      <c r="D152" s="5">
        <f>VLOOKUP(表1_[[#This Row],[地区]],Sheet2!A:B,2,0)</f>
        <v>410000</v>
      </c>
      <c r="E152" s="5">
        <f>表1_[[#This Row],[年份]]+表1_[[#This Row],[行政区划]]</f>
        <v>412023</v>
      </c>
    </row>
    <row r="153" spans="1:5" x14ac:dyDescent="0.3">
      <c r="A153" s="5" t="s">
        <v>317</v>
      </c>
      <c r="B153" s="5">
        <v>2022</v>
      </c>
      <c r="C153" s="5">
        <v>5.89</v>
      </c>
      <c r="D153" s="5">
        <f>VLOOKUP(表1_[[#This Row],[地区]],Sheet2!A:B,2,0)</f>
        <v>410000</v>
      </c>
      <c r="E153" s="5">
        <f>表1_[[#This Row],[年份]]+表1_[[#This Row],[行政区划]]</f>
        <v>412022</v>
      </c>
    </row>
    <row r="154" spans="1:5" x14ac:dyDescent="0.3">
      <c r="A154" s="5" t="s">
        <v>317</v>
      </c>
      <c r="B154" s="5">
        <v>2021</v>
      </c>
      <c r="C154" s="5">
        <v>6</v>
      </c>
      <c r="D154" s="5">
        <f>VLOOKUP(表1_[[#This Row],[地区]],Sheet2!A:B,2,0)</f>
        <v>410000</v>
      </c>
      <c r="E154" s="5">
        <f>表1_[[#This Row],[年份]]+表1_[[#This Row],[行政区划]]</f>
        <v>412021</v>
      </c>
    </row>
    <row r="155" spans="1:5" x14ac:dyDescent="0.3">
      <c r="A155" s="5" t="s">
        <v>317</v>
      </c>
      <c r="B155" s="5">
        <v>2020</v>
      </c>
      <c r="C155" s="5">
        <v>6.68</v>
      </c>
      <c r="D155" s="5">
        <f>VLOOKUP(表1_[[#This Row],[地区]],Sheet2!A:B,2,0)</f>
        <v>410000</v>
      </c>
      <c r="E155" s="5">
        <f>表1_[[#This Row],[年份]]+表1_[[#This Row],[行政区划]]</f>
        <v>412020</v>
      </c>
    </row>
    <row r="156" spans="1:5" x14ac:dyDescent="0.3">
      <c r="A156" s="5" t="s">
        <v>317</v>
      </c>
      <c r="B156" s="5">
        <v>2019</v>
      </c>
      <c r="C156" s="5">
        <v>10.44</v>
      </c>
      <c r="D156" s="5">
        <f>VLOOKUP(表1_[[#This Row],[地区]],Sheet2!A:B,2,0)</f>
        <v>410000</v>
      </c>
      <c r="E156" s="5">
        <f>表1_[[#This Row],[年份]]+表1_[[#This Row],[行政区划]]</f>
        <v>412019</v>
      </c>
    </row>
    <row r="157" spans="1:5" x14ac:dyDescent="0.3">
      <c r="A157" s="5" t="s">
        <v>317</v>
      </c>
      <c r="B157" s="5">
        <v>2018</v>
      </c>
      <c r="C157" s="5">
        <v>12.27</v>
      </c>
      <c r="D157" s="5">
        <f>VLOOKUP(表1_[[#This Row],[地区]],Sheet2!A:B,2,0)</f>
        <v>410000</v>
      </c>
      <c r="E157" s="5">
        <f>表1_[[#This Row],[年份]]+表1_[[#This Row],[行政区划]]</f>
        <v>412018</v>
      </c>
    </row>
    <row r="158" spans="1:5" x14ac:dyDescent="0.3">
      <c r="A158" s="5" t="s">
        <v>317</v>
      </c>
      <c r="B158" s="5">
        <v>2017</v>
      </c>
      <c r="C158" s="5">
        <v>13.98</v>
      </c>
      <c r="D158" s="5">
        <f>VLOOKUP(表1_[[#This Row],[地区]],Sheet2!A:B,2,0)</f>
        <v>410000</v>
      </c>
      <c r="E158" s="5">
        <f>表1_[[#This Row],[年份]]+表1_[[#This Row],[行政区划]]</f>
        <v>412017</v>
      </c>
    </row>
    <row r="159" spans="1:5" x14ac:dyDescent="0.3">
      <c r="A159" s="5" t="s">
        <v>317</v>
      </c>
      <c r="B159" s="5">
        <v>2016</v>
      </c>
      <c r="C159" s="5">
        <v>38.65</v>
      </c>
      <c r="D159" s="5">
        <f>VLOOKUP(表1_[[#This Row],[地区]],Sheet2!A:B,2,0)</f>
        <v>410000</v>
      </c>
      <c r="E159" s="5">
        <f>表1_[[#This Row],[年份]]+表1_[[#This Row],[行政区划]]</f>
        <v>412016</v>
      </c>
    </row>
    <row r="160" spans="1:5" x14ac:dyDescent="0.3">
      <c r="A160" s="5" t="s">
        <v>317</v>
      </c>
      <c r="B160" s="5">
        <v>2015</v>
      </c>
      <c r="C160" s="5">
        <v>114.43</v>
      </c>
      <c r="D160" s="5">
        <f>VLOOKUP(表1_[[#This Row],[地区]],Sheet2!A:B,2,0)</f>
        <v>410000</v>
      </c>
      <c r="E160" s="5">
        <f>表1_[[#This Row],[年份]]+表1_[[#This Row],[行政区划]]</f>
        <v>412015</v>
      </c>
    </row>
    <row r="161" spans="1:5" x14ac:dyDescent="0.3">
      <c r="A161" s="5" t="s">
        <v>317</v>
      </c>
      <c r="B161" s="5">
        <v>2014</v>
      </c>
      <c r="C161" s="5">
        <v>119.82</v>
      </c>
      <c r="D161" s="5">
        <f>VLOOKUP(表1_[[#This Row],[地区]],Sheet2!A:B,2,0)</f>
        <v>410000</v>
      </c>
      <c r="E161" s="5">
        <f>表1_[[#This Row],[年份]]+表1_[[#This Row],[行政区划]]</f>
        <v>412014</v>
      </c>
    </row>
    <row r="162" spans="1:5" x14ac:dyDescent="0.3">
      <c r="A162" s="5" t="s">
        <v>318</v>
      </c>
      <c r="B162" s="5">
        <v>2023</v>
      </c>
      <c r="C162" s="5">
        <v>7.89</v>
      </c>
      <c r="D162" s="5">
        <f>VLOOKUP(表1_[[#This Row],[地区]],Sheet2!A:B,2,0)</f>
        <v>420000</v>
      </c>
      <c r="E162" s="5">
        <f>表1_[[#This Row],[年份]]+表1_[[#This Row],[行政区划]]</f>
        <v>422023</v>
      </c>
    </row>
    <row r="163" spans="1:5" x14ac:dyDescent="0.3">
      <c r="A163" s="5" t="s">
        <v>318</v>
      </c>
      <c r="B163" s="5">
        <v>2022</v>
      </c>
      <c r="C163" s="5">
        <v>8.5</v>
      </c>
      <c r="D163" s="5">
        <f>VLOOKUP(表1_[[#This Row],[地区]],Sheet2!A:B,2,0)</f>
        <v>420000</v>
      </c>
      <c r="E163" s="5">
        <f>表1_[[#This Row],[年份]]+表1_[[#This Row],[行政区划]]</f>
        <v>422022</v>
      </c>
    </row>
    <row r="164" spans="1:5" x14ac:dyDescent="0.3">
      <c r="A164" s="5" t="s">
        <v>318</v>
      </c>
      <c r="B164" s="5">
        <v>2021</v>
      </c>
      <c r="C164" s="5">
        <v>9.2100000000000009</v>
      </c>
      <c r="D164" s="5">
        <f>VLOOKUP(表1_[[#This Row],[地区]],Sheet2!A:B,2,0)</f>
        <v>420000</v>
      </c>
      <c r="E164" s="5">
        <f>表1_[[#This Row],[年份]]+表1_[[#This Row],[行政区划]]</f>
        <v>422021</v>
      </c>
    </row>
    <row r="165" spans="1:5" x14ac:dyDescent="0.3">
      <c r="A165" s="5" t="s">
        <v>318</v>
      </c>
      <c r="B165" s="5">
        <v>2020</v>
      </c>
      <c r="C165" s="5">
        <v>9.7200000000000006</v>
      </c>
      <c r="D165" s="5">
        <f>VLOOKUP(表1_[[#This Row],[地区]],Sheet2!A:B,2,0)</f>
        <v>420000</v>
      </c>
      <c r="E165" s="5">
        <f>表1_[[#This Row],[年份]]+表1_[[#This Row],[行政区划]]</f>
        <v>422020</v>
      </c>
    </row>
    <row r="166" spans="1:5" x14ac:dyDescent="0.3">
      <c r="A166" s="5" t="s">
        <v>318</v>
      </c>
      <c r="B166" s="5">
        <v>2019</v>
      </c>
      <c r="C166" s="5">
        <v>11.68</v>
      </c>
      <c r="D166" s="5">
        <f>VLOOKUP(表1_[[#This Row],[地区]],Sheet2!A:B,2,0)</f>
        <v>420000</v>
      </c>
      <c r="E166" s="5">
        <f>表1_[[#This Row],[年份]]+表1_[[#This Row],[行政区划]]</f>
        <v>422019</v>
      </c>
    </row>
    <row r="167" spans="1:5" x14ac:dyDescent="0.3">
      <c r="A167" s="5" t="s">
        <v>318</v>
      </c>
      <c r="B167" s="5">
        <v>2018</v>
      </c>
      <c r="C167" s="5">
        <v>12.08</v>
      </c>
      <c r="D167" s="5">
        <f>VLOOKUP(表1_[[#This Row],[地区]],Sheet2!A:B,2,0)</f>
        <v>420000</v>
      </c>
      <c r="E167" s="5">
        <f>表1_[[#This Row],[年份]]+表1_[[#This Row],[行政区划]]</f>
        <v>422018</v>
      </c>
    </row>
    <row r="168" spans="1:5" x14ac:dyDescent="0.3">
      <c r="A168" s="5" t="s">
        <v>318</v>
      </c>
      <c r="B168" s="5">
        <v>2017</v>
      </c>
      <c r="C168" s="5">
        <v>17.37</v>
      </c>
      <c r="D168" s="5">
        <f>VLOOKUP(表1_[[#This Row],[地区]],Sheet2!A:B,2,0)</f>
        <v>420000</v>
      </c>
      <c r="E168" s="5">
        <f>表1_[[#This Row],[年份]]+表1_[[#This Row],[行政区划]]</f>
        <v>422017</v>
      </c>
    </row>
    <row r="169" spans="1:5" x14ac:dyDescent="0.3">
      <c r="A169" s="5" t="s">
        <v>318</v>
      </c>
      <c r="B169" s="5">
        <v>2016</v>
      </c>
      <c r="C169" s="5">
        <v>21.78</v>
      </c>
      <c r="D169" s="5">
        <f>VLOOKUP(表1_[[#This Row],[地区]],Sheet2!A:B,2,0)</f>
        <v>420000</v>
      </c>
      <c r="E169" s="5">
        <f>表1_[[#This Row],[年份]]+表1_[[#This Row],[行政区划]]</f>
        <v>422016</v>
      </c>
    </row>
    <row r="170" spans="1:5" x14ac:dyDescent="0.3">
      <c r="A170" s="5" t="s">
        <v>318</v>
      </c>
      <c r="B170" s="5">
        <v>2015</v>
      </c>
      <c r="C170" s="5">
        <v>55.14</v>
      </c>
      <c r="D170" s="5">
        <f>VLOOKUP(表1_[[#This Row],[地区]],Sheet2!A:B,2,0)</f>
        <v>420000</v>
      </c>
      <c r="E170" s="5">
        <f>表1_[[#This Row],[年份]]+表1_[[#This Row],[行政区划]]</f>
        <v>422015</v>
      </c>
    </row>
    <row r="171" spans="1:5" x14ac:dyDescent="0.3">
      <c r="A171" s="5" t="s">
        <v>318</v>
      </c>
      <c r="B171" s="5">
        <v>2014</v>
      </c>
      <c r="C171" s="5">
        <v>58.38</v>
      </c>
      <c r="D171" s="5">
        <f>VLOOKUP(表1_[[#This Row],[地区]],Sheet2!A:B,2,0)</f>
        <v>420000</v>
      </c>
      <c r="E171" s="5">
        <f>表1_[[#This Row],[年份]]+表1_[[#This Row],[行政区划]]</f>
        <v>422014</v>
      </c>
    </row>
    <row r="172" spans="1:5" x14ac:dyDescent="0.3">
      <c r="A172" s="5" t="s">
        <v>319</v>
      </c>
      <c r="B172" s="5">
        <v>2023</v>
      </c>
      <c r="C172" s="5">
        <v>6.53</v>
      </c>
      <c r="D172" s="5">
        <f>VLOOKUP(表1_[[#This Row],[地区]],Sheet2!A:B,2,0)</f>
        <v>430000</v>
      </c>
      <c r="E172" s="5">
        <f>表1_[[#This Row],[年份]]+表1_[[#This Row],[行政区划]]</f>
        <v>432023</v>
      </c>
    </row>
    <row r="173" spans="1:5" x14ac:dyDescent="0.3">
      <c r="A173" s="5" t="s">
        <v>319</v>
      </c>
      <c r="B173" s="5">
        <v>2022</v>
      </c>
      <c r="C173" s="5">
        <v>6.96</v>
      </c>
      <c r="D173" s="5">
        <f>VLOOKUP(表1_[[#This Row],[地区]],Sheet2!A:B,2,0)</f>
        <v>430000</v>
      </c>
      <c r="E173" s="5">
        <f>表1_[[#This Row],[年份]]+表1_[[#This Row],[行政区划]]</f>
        <v>432022</v>
      </c>
    </row>
    <row r="174" spans="1:5" x14ac:dyDescent="0.3">
      <c r="A174" s="5" t="s">
        <v>319</v>
      </c>
      <c r="B174" s="5">
        <v>2021</v>
      </c>
      <c r="C174" s="5">
        <v>8.49</v>
      </c>
      <c r="D174" s="5">
        <f>VLOOKUP(表1_[[#This Row],[地区]],Sheet2!A:B,2,0)</f>
        <v>430000</v>
      </c>
      <c r="E174" s="5">
        <f>表1_[[#This Row],[年份]]+表1_[[#This Row],[行政区划]]</f>
        <v>432021</v>
      </c>
    </row>
    <row r="175" spans="1:5" x14ac:dyDescent="0.3">
      <c r="A175" s="5" t="s">
        <v>319</v>
      </c>
      <c r="B175" s="5">
        <v>2020</v>
      </c>
      <c r="C175" s="5">
        <v>10.24</v>
      </c>
      <c r="D175" s="5">
        <f>VLOOKUP(表1_[[#This Row],[地区]],Sheet2!A:B,2,0)</f>
        <v>430000</v>
      </c>
      <c r="E175" s="5">
        <f>表1_[[#This Row],[年份]]+表1_[[#This Row],[行政区划]]</f>
        <v>432020</v>
      </c>
    </row>
    <row r="176" spans="1:5" x14ac:dyDescent="0.3">
      <c r="A176" s="5" t="s">
        <v>319</v>
      </c>
      <c r="B176" s="5">
        <v>2019</v>
      </c>
      <c r="C176" s="5">
        <v>19.13</v>
      </c>
      <c r="D176" s="5">
        <f>VLOOKUP(表1_[[#This Row],[地区]],Sheet2!A:B,2,0)</f>
        <v>430000</v>
      </c>
      <c r="E176" s="5">
        <f>表1_[[#This Row],[年份]]+表1_[[#This Row],[行政区划]]</f>
        <v>432019</v>
      </c>
    </row>
    <row r="177" spans="1:5" x14ac:dyDescent="0.3">
      <c r="A177" s="5" t="s">
        <v>319</v>
      </c>
      <c r="B177" s="5">
        <v>2018</v>
      </c>
      <c r="C177" s="5">
        <v>22.94</v>
      </c>
      <c r="D177" s="5">
        <f>VLOOKUP(表1_[[#This Row],[地区]],Sheet2!A:B,2,0)</f>
        <v>430000</v>
      </c>
      <c r="E177" s="5">
        <f>表1_[[#This Row],[年份]]+表1_[[#This Row],[行政区划]]</f>
        <v>432018</v>
      </c>
    </row>
    <row r="178" spans="1:5" x14ac:dyDescent="0.3">
      <c r="A178" s="5" t="s">
        <v>319</v>
      </c>
      <c r="B178" s="5">
        <v>2017</v>
      </c>
      <c r="C178" s="5">
        <v>27.59</v>
      </c>
      <c r="D178" s="5">
        <f>VLOOKUP(表1_[[#This Row],[地区]],Sheet2!A:B,2,0)</f>
        <v>430000</v>
      </c>
      <c r="E178" s="5">
        <f>表1_[[#This Row],[年份]]+表1_[[#This Row],[行政区划]]</f>
        <v>432017</v>
      </c>
    </row>
    <row r="179" spans="1:5" x14ac:dyDescent="0.3">
      <c r="A179" s="5" t="s">
        <v>319</v>
      </c>
      <c r="B179" s="5">
        <v>2016</v>
      </c>
      <c r="C179" s="5">
        <v>30.92</v>
      </c>
      <c r="D179" s="5">
        <f>VLOOKUP(表1_[[#This Row],[地区]],Sheet2!A:B,2,0)</f>
        <v>430000</v>
      </c>
      <c r="E179" s="5">
        <f>表1_[[#This Row],[年份]]+表1_[[#This Row],[行政区划]]</f>
        <v>432016</v>
      </c>
    </row>
    <row r="180" spans="1:5" x14ac:dyDescent="0.3">
      <c r="A180" s="5" t="s">
        <v>319</v>
      </c>
      <c r="B180" s="5">
        <v>2015</v>
      </c>
      <c r="C180" s="5">
        <v>59.55</v>
      </c>
      <c r="D180" s="5">
        <f>VLOOKUP(表1_[[#This Row],[地区]],Sheet2!A:B,2,0)</f>
        <v>430000</v>
      </c>
      <c r="E180" s="5">
        <f>表1_[[#This Row],[年份]]+表1_[[#This Row],[行政区划]]</f>
        <v>432015</v>
      </c>
    </row>
    <row r="181" spans="1:5" x14ac:dyDescent="0.3">
      <c r="A181" s="5" t="s">
        <v>319</v>
      </c>
      <c r="B181" s="5">
        <v>2014</v>
      </c>
      <c r="C181" s="5">
        <v>62.37</v>
      </c>
      <c r="D181" s="5">
        <f>VLOOKUP(表1_[[#This Row],[地区]],Sheet2!A:B,2,0)</f>
        <v>430000</v>
      </c>
      <c r="E181" s="5">
        <f>表1_[[#This Row],[年份]]+表1_[[#This Row],[行政区划]]</f>
        <v>432014</v>
      </c>
    </row>
    <row r="182" spans="1:5" x14ac:dyDescent="0.3">
      <c r="A182" s="5" t="s">
        <v>320</v>
      </c>
      <c r="B182" s="5">
        <v>2023</v>
      </c>
      <c r="C182" s="5">
        <v>7.98</v>
      </c>
      <c r="D182" s="5">
        <f>VLOOKUP(表1_[[#This Row],[地区]],Sheet2!A:B,2,0)</f>
        <v>440000</v>
      </c>
      <c r="E182" s="5">
        <f>表1_[[#This Row],[年份]]+表1_[[#This Row],[行政区划]]</f>
        <v>442023</v>
      </c>
    </row>
    <row r="183" spans="1:5" x14ac:dyDescent="0.3">
      <c r="A183" s="5" t="s">
        <v>320</v>
      </c>
      <c r="B183" s="5">
        <v>2022</v>
      </c>
      <c r="C183" s="5">
        <v>8.82</v>
      </c>
      <c r="D183" s="5">
        <f>VLOOKUP(表1_[[#This Row],[地区]],Sheet2!A:B,2,0)</f>
        <v>440000</v>
      </c>
      <c r="E183" s="5">
        <f>表1_[[#This Row],[年份]]+表1_[[#This Row],[行政区划]]</f>
        <v>442022</v>
      </c>
    </row>
    <row r="184" spans="1:5" x14ac:dyDescent="0.3">
      <c r="A184" s="5" t="s">
        <v>320</v>
      </c>
      <c r="B184" s="5">
        <v>2021</v>
      </c>
      <c r="C184" s="5">
        <v>9.7899999999999991</v>
      </c>
      <c r="D184" s="5">
        <f>VLOOKUP(表1_[[#This Row],[地区]],Sheet2!A:B,2,0)</f>
        <v>440000</v>
      </c>
      <c r="E184" s="5">
        <f>表1_[[#This Row],[年份]]+表1_[[#This Row],[行政区划]]</f>
        <v>442021</v>
      </c>
    </row>
    <row r="185" spans="1:5" x14ac:dyDescent="0.3">
      <c r="A185" s="5" t="s">
        <v>320</v>
      </c>
      <c r="B185" s="5">
        <v>2020</v>
      </c>
      <c r="C185" s="5">
        <v>11.69</v>
      </c>
      <c r="D185" s="5">
        <f>VLOOKUP(表1_[[#This Row],[地区]],Sheet2!A:B,2,0)</f>
        <v>440000</v>
      </c>
      <c r="E185" s="5">
        <f>表1_[[#This Row],[年份]]+表1_[[#This Row],[行政区划]]</f>
        <v>442020</v>
      </c>
    </row>
    <row r="186" spans="1:5" x14ac:dyDescent="0.3">
      <c r="A186" s="5" t="s">
        <v>320</v>
      </c>
      <c r="B186" s="5">
        <v>2019</v>
      </c>
      <c r="C186" s="5">
        <v>12.04</v>
      </c>
      <c r="D186" s="5">
        <f>VLOOKUP(表1_[[#This Row],[地区]],Sheet2!A:B,2,0)</f>
        <v>440000</v>
      </c>
      <c r="E186" s="5">
        <f>表1_[[#This Row],[年份]]+表1_[[#This Row],[行政区划]]</f>
        <v>442019</v>
      </c>
    </row>
    <row r="187" spans="1:5" x14ac:dyDescent="0.3">
      <c r="A187" s="5" t="s">
        <v>320</v>
      </c>
      <c r="B187" s="5">
        <v>2018</v>
      </c>
      <c r="C187" s="5">
        <v>15.1</v>
      </c>
      <c r="D187" s="5">
        <f>VLOOKUP(表1_[[#This Row],[地区]],Sheet2!A:B,2,0)</f>
        <v>440000</v>
      </c>
      <c r="E187" s="5">
        <f>表1_[[#This Row],[年份]]+表1_[[#This Row],[行政区划]]</f>
        <v>442018</v>
      </c>
    </row>
    <row r="188" spans="1:5" x14ac:dyDescent="0.3">
      <c r="A188" s="5" t="s">
        <v>320</v>
      </c>
      <c r="B188" s="5">
        <v>2017</v>
      </c>
      <c r="C188" s="5">
        <v>18.73</v>
      </c>
      <c r="D188" s="5">
        <f>VLOOKUP(表1_[[#This Row],[地区]],Sheet2!A:B,2,0)</f>
        <v>440000</v>
      </c>
      <c r="E188" s="5">
        <f>表1_[[#This Row],[年份]]+表1_[[#This Row],[行政区划]]</f>
        <v>442017</v>
      </c>
    </row>
    <row r="189" spans="1:5" x14ac:dyDescent="0.3">
      <c r="A189" s="5" t="s">
        <v>320</v>
      </c>
      <c r="B189" s="5">
        <v>2016</v>
      </c>
      <c r="C189" s="5">
        <v>25.56</v>
      </c>
      <c r="D189" s="5">
        <f>VLOOKUP(表1_[[#This Row],[地区]],Sheet2!A:B,2,0)</f>
        <v>440000</v>
      </c>
      <c r="E189" s="5">
        <f>表1_[[#This Row],[年份]]+表1_[[#This Row],[行政区划]]</f>
        <v>442016</v>
      </c>
    </row>
    <row r="190" spans="1:5" x14ac:dyDescent="0.3">
      <c r="A190" s="5" t="s">
        <v>320</v>
      </c>
      <c r="B190" s="5">
        <v>2015</v>
      </c>
      <c r="C190" s="5">
        <v>67.83</v>
      </c>
      <c r="D190" s="5">
        <f>VLOOKUP(表1_[[#This Row],[地区]],Sheet2!A:B,2,0)</f>
        <v>440000</v>
      </c>
      <c r="E190" s="5">
        <f>表1_[[#This Row],[年份]]+表1_[[#This Row],[行政区划]]</f>
        <v>442015</v>
      </c>
    </row>
    <row r="191" spans="1:5" x14ac:dyDescent="0.3">
      <c r="A191" s="5" t="s">
        <v>320</v>
      </c>
      <c r="B191" s="5">
        <v>2014</v>
      </c>
      <c r="C191" s="5">
        <v>73.010000000000005</v>
      </c>
      <c r="D191" s="5">
        <f>VLOOKUP(表1_[[#This Row],[地区]],Sheet2!A:B,2,0)</f>
        <v>440000</v>
      </c>
      <c r="E191" s="5">
        <f>表1_[[#This Row],[年份]]+表1_[[#This Row],[行政区划]]</f>
        <v>442014</v>
      </c>
    </row>
    <row r="192" spans="1:5" x14ac:dyDescent="0.3">
      <c r="A192" s="5" t="s">
        <v>321</v>
      </c>
      <c r="B192" s="5">
        <v>2023</v>
      </c>
      <c r="C192" s="5">
        <v>7.69</v>
      </c>
      <c r="D192" s="5">
        <f>VLOOKUP(表1_[[#This Row],[地区]],Sheet2!A:B,2,0)</f>
        <v>450000</v>
      </c>
      <c r="E192" s="5">
        <f>表1_[[#This Row],[年份]]+表1_[[#This Row],[行政区划]]</f>
        <v>452023</v>
      </c>
    </row>
    <row r="193" spans="1:5" x14ac:dyDescent="0.3">
      <c r="A193" s="5" t="s">
        <v>321</v>
      </c>
      <c r="B193" s="5">
        <v>2022</v>
      </c>
      <c r="C193" s="5">
        <v>6.16</v>
      </c>
      <c r="D193" s="5">
        <f>VLOOKUP(表1_[[#This Row],[地区]],Sheet2!A:B,2,0)</f>
        <v>450000</v>
      </c>
      <c r="E193" s="5">
        <f>表1_[[#This Row],[年份]]+表1_[[#This Row],[行政区划]]</f>
        <v>452022</v>
      </c>
    </row>
    <row r="194" spans="1:5" x14ac:dyDescent="0.3">
      <c r="A194" s="5" t="s">
        <v>321</v>
      </c>
      <c r="B194" s="5">
        <v>2021</v>
      </c>
      <c r="C194" s="5">
        <v>7.43</v>
      </c>
      <c r="D194" s="5">
        <f>VLOOKUP(表1_[[#This Row],[地区]],Sheet2!A:B,2,0)</f>
        <v>450000</v>
      </c>
      <c r="E194" s="5">
        <f>表1_[[#This Row],[年份]]+表1_[[#This Row],[行政区划]]</f>
        <v>452021</v>
      </c>
    </row>
    <row r="195" spans="1:5" x14ac:dyDescent="0.3">
      <c r="A195" s="5" t="s">
        <v>321</v>
      </c>
      <c r="B195" s="5">
        <v>2020</v>
      </c>
      <c r="C195" s="5">
        <v>8.7799999999999994</v>
      </c>
      <c r="D195" s="5">
        <f>VLOOKUP(表1_[[#This Row],[地区]],Sheet2!A:B,2,0)</f>
        <v>450000</v>
      </c>
      <c r="E195" s="5">
        <f>表1_[[#This Row],[年份]]+表1_[[#This Row],[行政区划]]</f>
        <v>452020</v>
      </c>
    </row>
    <row r="196" spans="1:5" x14ac:dyDescent="0.3">
      <c r="A196" s="5" t="s">
        <v>321</v>
      </c>
      <c r="B196" s="5">
        <v>2019</v>
      </c>
      <c r="C196" s="5">
        <v>9.51</v>
      </c>
      <c r="D196" s="5">
        <f>VLOOKUP(表1_[[#This Row],[地区]],Sheet2!A:B,2,0)</f>
        <v>450000</v>
      </c>
      <c r="E196" s="5">
        <f>表1_[[#This Row],[年份]]+表1_[[#This Row],[行政区划]]</f>
        <v>452019</v>
      </c>
    </row>
    <row r="197" spans="1:5" x14ac:dyDescent="0.3">
      <c r="A197" s="5" t="s">
        <v>321</v>
      </c>
      <c r="B197" s="5">
        <v>2018</v>
      </c>
      <c r="C197" s="5">
        <v>10.06</v>
      </c>
      <c r="D197" s="5">
        <f>VLOOKUP(表1_[[#This Row],[地区]],Sheet2!A:B,2,0)</f>
        <v>450000</v>
      </c>
      <c r="E197" s="5">
        <f>表1_[[#This Row],[年份]]+表1_[[#This Row],[行政区划]]</f>
        <v>452018</v>
      </c>
    </row>
    <row r="198" spans="1:5" x14ac:dyDescent="0.3">
      <c r="A198" s="5" t="s">
        <v>321</v>
      </c>
      <c r="B198" s="5">
        <v>2017</v>
      </c>
      <c r="C198" s="5">
        <v>10.52</v>
      </c>
      <c r="D198" s="5">
        <f>VLOOKUP(表1_[[#This Row],[地区]],Sheet2!A:B,2,0)</f>
        <v>450000</v>
      </c>
      <c r="E198" s="5">
        <f>表1_[[#This Row],[年份]]+表1_[[#This Row],[行政区划]]</f>
        <v>452017</v>
      </c>
    </row>
    <row r="199" spans="1:5" x14ac:dyDescent="0.3">
      <c r="A199" s="5" t="s">
        <v>321</v>
      </c>
      <c r="B199" s="5">
        <v>2016</v>
      </c>
      <c r="C199" s="5">
        <v>13.79</v>
      </c>
      <c r="D199" s="5">
        <f>VLOOKUP(表1_[[#This Row],[地区]],Sheet2!A:B,2,0)</f>
        <v>450000</v>
      </c>
      <c r="E199" s="5">
        <f>表1_[[#This Row],[年份]]+表1_[[#This Row],[行政区划]]</f>
        <v>452016</v>
      </c>
    </row>
    <row r="200" spans="1:5" x14ac:dyDescent="0.3">
      <c r="A200" s="5" t="s">
        <v>321</v>
      </c>
      <c r="B200" s="5">
        <v>2015</v>
      </c>
      <c r="C200" s="5">
        <v>42.12</v>
      </c>
      <c r="D200" s="5">
        <f>VLOOKUP(表1_[[#This Row],[地区]],Sheet2!A:B,2,0)</f>
        <v>450000</v>
      </c>
      <c r="E200" s="5">
        <f>表1_[[#This Row],[年份]]+表1_[[#This Row],[行政区划]]</f>
        <v>452015</v>
      </c>
    </row>
    <row r="201" spans="1:5" x14ac:dyDescent="0.3">
      <c r="A201" s="5" t="s">
        <v>321</v>
      </c>
      <c r="B201" s="5">
        <v>2014</v>
      </c>
      <c r="C201" s="5">
        <v>46.66</v>
      </c>
      <c r="D201" s="5">
        <f>VLOOKUP(表1_[[#This Row],[地区]],Sheet2!A:B,2,0)</f>
        <v>450000</v>
      </c>
      <c r="E201" s="5">
        <f>表1_[[#This Row],[年份]]+表1_[[#This Row],[行政区划]]</f>
        <v>452014</v>
      </c>
    </row>
    <row r="202" spans="1:5" x14ac:dyDescent="0.3">
      <c r="A202" s="5" t="s">
        <v>322</v>
      </c>
      <c r="B202" s="5">
        <v>2023</v>
      </c>
      <c r="C202" s="5">
        <v>0.35</v>
      </c>
      <c r="D202" s="5">
        <f>VLOOKUP(表1_[[#This Row],[地区]],Sheet2!A:B,2,0)</f>
        <v>460000</v>
      </c>
      <c r="E202" s="5">
        <f>表1_[[#This Row],[年份]]+表1_[[#This Row],[行政区划]]</f>
        <v>462023</v>
      </c>
    </row>
    <row r="203" spans="1:5" x14ac:dyDescent="0.3">
      <c r="A203" s="5" t="s">
        <v>322</v>
      </c>
      <c r="B203" s="5">
        <v>2022</v>
      </c>
      <c r="C203" s="5">
        <v>0.36</v>
      </c>
      <c r="D203" s="5">
        <f>VLOOKUP(表1_[[#This Row],[地区]],Sheet2!A:B,2,0)</f>
        <v>460000</v>
      </c>
      <c r="E203" s="5">
        <f>表1_[[#This Row],[年份]]+表1_[[#This Row],[行政区划]]</f>
        <v>462022</v>
      </c>
    </row>
    <row r="204" spans="1:5" x14ac:dyDescent="0.3">
      <c r="A204" s="5" t="s">
        <v>322</v>
      </c>
      <c r="B204" s="5">
        <v>2021</v>
      </c>
      <c r="C204" s="5">
        <v>0.43</v>
      </c>
      <c r="D204" s="5">
        <f>VLOOKUP(表1_[[#This Row],[地区]],Sheet2!A:B,2,0)</f>
        <v>460000</v>
      </c>
      <c r="E204" s="5">
        <f>表1_[[#This Row],[年份]]+表1_[[#This Row],[行政区划]]</f>
        <v>462021</v>
      </c>
    </row>
    <row r="205" spans="1:5" x14ac:dyDescent="0.3">
      <c r="A205" s="5" t="s">
        <v>322</v>
      </c>
      <c r="B205" s="5">
        <v>2020</v>
      </c>
      <c r="C205" s="5">
        <v>0.59</v>
      </c>
      <c r="D205" s="5">
        <f>VLOOKUP(表1_[[#This Row],[地区]],Sheet2!A:B,2,0)</f>
        <v>460000</v>
      </c>
      <c r="E205" s="5">
        <f>表1_[[#This Row],[年份]]+表1_[[#This Row],[行政区划]]</f>
        <v>462020</v>
      </c>
    </row>
    <row r="206" spans="1:5" x14ac:dyDescent="0.3">
      <c r="A206" s="5" t="s">
        <v>322</v>
      </c>
      <c r="B206" s="5">
        <v>2019</v>
      </c>
      <c r="C206" s="5">
        <v>0.69</v>
      </c>
      <c r="D206" s="5">
        <f>VLOOKUP(表1_[[#This Row],[地区]],Sheet2!A:B,2,0)</f>
        <v>460000</v>
      </c>
      <c r="E206" s="5">
        <f>表1_[[#This Row],[年份]]+表1_[[#This Row],[行政区划]]</f>
        <v>462019</v>
      </c>
    </row>
    <row r="207" spans="1:5" x14ac:dyDescent="0.3">
      <c r="A207" s="5" t="s">
        <v>322</v>
      </c>
      <c r="B207" s="5">
        <v>2018</v>
      </c>
      <c r="C207" s="5">
        <v>0.81</v>
      </c>
      <c r="D207" s="5">
        <f>VLOOKUP(表1_[[#This Row],[地区]],Sheet2!A:B,2,0)</f>
        <v>460000</v>
      </c>
      <c r="E207" s="5">
        <f>表1_[[#This Row],[年份]]+表1_[[#This Row],[行政区划]]</f>
        <v>462018</v>
      </c>
    </row>
    <row r="208" spans="1:5" x14ac:dyDescent="0.3">
      <c r="A208" s="5" t="s">
        <v>322</v>
      </c>
      <c r="B208" s="5">
        <v>2017</v>
      </c>
      <c r="C208" s="5">
        <v>0.97</v>
      </c>
      <c r="D208" s="5">
        <f>VLOOKUP(表1_[[#This Row],[地区]],Sheet2!A:B,2,0)</f>
        <v>460000</v>
      </c>
      <c r="E208" s="5">
        <f>表1_[[#This Row],[年份]]+表1_[[#This Row],[行政区划]]</f>
        <v>462017</v>
      </c>
    </row>
    <row r="209" spans="1:5" x14ac:dyDescent="0.3">
      <c r="A209" s="5" t="s">
        <v>322</v>
      </c>
      <c r="B209" s="5">
        <v>2016</v>
      </c>
      <c r="C209" s="5">
        <v>1.34</v>
      </c>
      <c r="D209" s="5">
        <f>VLOOKUP(表1_[[#This Row],[地区]],Sheet2!A:B,2,0)</f>
        <v>460000</v>
      </c>
      <c r="E209" s="5">
        <f>表1_[[#This Row],[年份]]+表1_[[#This Row],[行政区划]]</f>
        <v>462016</v>
      </c>
    </row>
    <row r="210" spans="1:5" x14ac:dyDescent="0.3">
      <c r="A210" s="5" t="s">
        <v>322</v>
      </c>
      <c r="B210" s="5">
        <v>2015</v>
      </c>
      <c r="C210" s="5">
        <v>3.23</v>
      </c>
      <c r="D210" s="5">
        <f>VLOOKUP(表1_[[#This Row],[地区]],Sheet2!A:B,2,0)</f>
        <v>460000</v>
      </c>
      <c r="E210" s="5">
        <f>表1_[[#This Row],[年份]]+表1_[[#This Row],[行政区划]]</f>
        <v>462015</v>
      </c>
    </row>
    <row r="211" spans="1:5" x14ac:dyDescent="0.3">
      <c r="A211" s="5" t="s">
        <v>322</v>
      </c>
      <c r="B211" s="5">
        <v>2014</v>
      </c>
      <c r="C211" s="5">
        <v>3.26</v>
      </c>
      <c r="D211" s="5">
        <f>VLOOKUP(表1_[[#This Row],[地区]],Sheet2!A:B,2,0)</f>
        <v>460000</v>
      </c>
      <c r="E211" s="5">
        <f>表1_[[#This Row],[年份]]+表1_[[#This Row],[行政区划]]</f>
        <v>462014</v>
      </c>
    </row>
    <row r="212" spans="1:5" x14ac:dyDescent="0.3">
      <c r="A212" s="5" t="s">
        <v>323</v>
      </c>
      <c r="B212" s="5">
        <v>2023</v>
      </c>
      <c r="C212" s="5">
        <v>3.58</v>
      </c>
      <c r="D212" s="5">
        <f>VLOOKUP(表1_[[#This Row],[地区]],Sheet2!A:B,2,0)</f>
        <v>500000</v>
      </c>
      <c r="E212" s="5">
        <f>表1_[[#This Row],[年份]]+表1_[[#This Row],[行政区划]]</f>
        <v>502023</v>
      </c>
    </row>
    <row r="213" spans="1:5" x14ac:dyDescent="0.3">
      <c r="A213" s="5" t="s">
        <v>323</v>
      </c>
      <c r="B213" s="5">
        <v>2022</v>
      </c>
      <c r="C213" s="5">
        <v>4.59</v>
      </c>
      <c r="D213" s="5">
        <f>VLOOKUP(表1_[[#This Row],[地区]],Sheet2!A:B,2,0)</f>
        <v>500000</v>
      </c>
      <c r="E213" s="5">
        <f>表1_[[#This Row],[年份]]+表1_[[#This Row],[行政区划]]</f>
        <v>502022</v>
      </c>
    </row>
    <row r="214" spans="1:5" x14ac:dyDescent="0.3">
      <c r="A214" s="5" t="s">
        <v>323</v>
      </c>
      <c r="B214" s="5">
        <v>2021</v>
      </c>
      <c r="C214" s="5">
        <v>5.0599999999999996</v>
      </c>
      <c r="D214" s="5">
        <f>VLOOKUP(表1_[[#This Row],[地区]],Sheet2!A:B,2,0)</f>
        <v>500000</v>
      </c>
      <c r="E214" s="5">
        <f>表1_[[#This Row],[年份]]+表1_[[#This Row],[行政区划]]</f>
        <v>502021</v>
      </c>
    </row>
    <row r="215" spans="1:5" x14ac:dyDescent="0.3">
      <c r="A215" s="5" t="s">
        <v>323</v>
      </c>
      <c r="B215" s="5">
        <v>2020</v>
      </c>
      <c r="C215" s="5">
        <v>6.75</v>
      </c>
      <c r="D215" s="5">
        <f>VLOOKUP(表1_[[#This Row],[地区]],Sheet2!A:B,2,0)</f>
        <v>500000</v>
      </c>
      <c r="E215" s="5">
        <f>表1_[[#This Row],[年份]]+表1_[[#This Row],[行政区划]]</f>
        <v>502020</v>
      </c>
    </row>
    <row r="216" spans="1:5" x14ac:dyDescent="0.3">
      <c r="A216" s="5" t="s">
        <v>323</v>
      </c>
      <c r="B216" s="5">
        <v>2019</v>
      </c>
      <c r="C216" s="5">
        <v>7.5</v>
      </c>
      <c r="D216" s="5">
        <f>VLOOKUP(表1_[[#This Row],[地区]],Sheet2!A:B,2,0)</f>
        <v>500000</v>
      </c>
      <c r="E216" s="5">
        <f>表1_[[#This Row],[年份]]+表1_[[#This Row],[行政区划]]</f>
        <v>502019</v>
      </c>
    </row>
    <row r="217" spans="1:5" x14ac:dyDescent="0.3">
      <c r="A217" s="5" t="s">
        <v>323</v>
      </c>
      <c r="B217" s="5">
        <v>2018</v>
      </c>
      <c r="C217" s="5">
        <v>9.17</v>
      </c>
      <c r="D217" s="5">
        <f>VLOOKUP(表1_[[#This Row],[地区]],Sheet2!A:B,2,0)</f>
        <v>500000</v>
      </c>
      <c r="E217" s="5">
        <f>表1_[[#This Row],[年份]]+表1_[[#This Row],[行政区划]]</f>
        <v>502018</v>
      </c>
    </row>
    <row r="218" spans="1:5" x14ac:dyDescent="0.3">
      <c r="A218" s="5" t="s">
        <v>323</v>
      </c>
      <c r="B218" s="5">
        <v>2017</v>
      </c>
      <c r="C218" s="5">
        <v>12.24</v>
      </c>
      <c r="D218" s="5">
        <f>VLOOKUP(表1_[[#This Row],[地区]],Sheet2!A:B,2,0)</f>
        <v>500000</v>
      </c>
      <c r="E218" s="5">
        <f>表1_[[#This Row],[年份]]+表1_[[#This Row],[行政区划]]</f>
        <v>502017</v>
      </c>
    </row>
    <row r="219" spans="1:5" x14ac:dyDescent="0.3">
      <c r="A219" s="5" t="s">
        <v>323</v>
      </c>
      <c r="B219" s="5">
        <v>2016</v>
      </c>
      <c r="C219" s="5">
        <v>12.93</v>
      </c>
      <c r="D219" s="5">
        <f>VLOOKUP(表1_[[#This Row],[地区]],Sheet2!A:B,2,0)</f>
        <v>500000</v>
      </c>
      <c r="E219" s="5">
        <f>表1_[[#This Row],[年份]]+表1_[[#This Row],[行政区划]]</f>
        <v>502016</v>
      </c>
    </row>
    <row r="220" spans="1:5" x14ac:dyDescent="0.3">
      <c r="A220" s="5" t="s">
        <v>323</v>
      </c>
      <c r="B220" s="5">
        <v>2015</v>
      </c>
      <c r="C220" s="5">
        <v>49.58</v>
      </c>
      <c r="D220" s="5">
        <f>VLOOKUP(表1_[[#This Row],[地区]],Sheet2!A:B,2,0)</f>
        <v>500000</v>
      </c>
      <c r="E220" s="5">
        <f>表1_[[#This Row],[年份]]+表1_[[#This Row],[行政区划]]</f>
        <v>502015</v>
      </c>
    </row>
    <row r="221" spans="1:5" x14ac:dyDescent="0.3">
      <c r="A221" s="5" t="s">
        <v>323</v>
      </c>
      <c r="B221" s="5">
        <v>2014</v>
      </c>
      <c r="C221" s="5">
        <v>52.69</v>
      </c>
      <c r="D221" s="5">
        <f>VLOOKUP(表1_[[#This Row],[地区]],Sheet2!A:B,2,0)</f>
        <v>500000</v>
      </c>
      <c r="E221" s="5">
        <f>表1_[[#This Row],[年份]]+表1_[[#This Row],[行政区划]]</f>
        <v>502014</v>
      </c>
    </row>
    <row r="222" spans="1:5" x14ac:dyDescent="0.3">
      <c r="A222" s="5" t="s">
        <v>324</v>
      </c>
      <c r="B222" s="5">
        <v>2023</v>
      </c>
      <c r="C222" s="5">
        <v>10.9</v>
      </c>
      <c r="D222" s="5">
        <f>VLOOKUP(表1_[[#This Row],[地区]],Sheet2!A:B,2,0)</f>
        <v>510000</v>
      </c>
      <c r="E222" s="5">
        <f>表1_[[#This Row],[年份]]+表1_[[#This Row],[行政区划]]</f>
        <v>512023</v>
      </c>
    </row>
    <row r="223" spans="1:5" x14ac:dyDescent="0.3">
      <c r="A223" s="5" t="s">
        <v>324</v>
      </c>
      <c r="B223" s="5">
        <v>2022</v>
      </c>
      <c r="C223" s="5">
        <v>12.22</v>
      </c>
      <c r="D223" s="5">
        <f>VLOOKUP(表1_[[#This Row],[地区]],Sheet2!A:B,2,0)</f>
        <v>510000</v>
      </c>
      <c r="E223" s="5">
        <f>表1_[[#This Row],[年份]]+表1_[[#This Row],[行政区划]]</f>
        <v>512022</v>
      </c>
    </row>
    <row r="224" spans="1:5" x14ac:dyDescent="0.3">
      <c r="A224" s="5" t="s">
        <v>324</v>
      </c>
      <c r="B224" s="5">
        <v>2021</v>
      </c>
      <c r="C224" s="5">
        <v>13.58</v>
      </c>
      <c r="D224" s="5">
        <f>VLOOKUP(表1_[[#This Row],[地区]],Sheet2!A:B,2,0)</f>
        <v>510000</v>
      </c>
      <c r="E224" s="5">
        <f>表1_[[#This Row],[年份]]+表1_[[#This Row],[行政区划]]</f>
        <v>512021</v>
      </c>
    </row>
    <row r="225" spans="1:5" x14ac:dyDescent="0.3">
      <c r="A225" s="5" t="s">
        <v>324</v>
      </c>
      <c r="B225" s="5">
        <v>2020</v>
      </c>
      <c r="C225" s="5">
        <v>16.309999999999999</v>
      </c>
      <c r="D225" s="5">
        <f>VLOOKUP(表1_[[#This Row],[地区]],Sheet2!A:B,2,0)</f>
        <v>510000</v>
      </c>
      <c r="E225" s="5">
        <f>表1_[[#This Row],[年份]]+表1_[[#This Row],[行政区划]]</f>
        <v>512020</v>
      </c>
    </row>
    <row r="226" spans="1:5" x14ac:dyDescent="0.3">
      <c r="A226" s="5" t="s">
        <v>324</v>
      </c>
      <c r="B226" s="5">
        <v>2019</v>
      </c>
      <c r="C226" s="5">
        <v>18.82</v>
      </c>
      <c r="D226" s="5">
        <f>VLOOKUP(表1_[[#This Row],[地区]],Sheet2!A:B,2,0)</f>
        <v>510000</v>
      </c>
      <c r="E226" s="5">
        <f>表1_[[#This Row],[年份]]+表1_[[#This Row],[行政区划]]</f>
        <v>512019</v>
      </c>
    </row>
    <row r="227" spans="1:5" x14ac:dyDescent="0.3">
      <c r="A227" s="5" t="s">
        <v>324</v>
      </c>
      <c r="B227" s="5">
        <v>2018</v>
      </c>
      <c r="C227" s="5">
        <v>19.170000000000002</v>
      </c>
      <c r="D227" s="5">
        <f>VLOOKUP(表1_[[#This Row],[地区]],Sheet2!A:B,2,0)</f>
        <v>510000</v>
      </c>
      <c r="E227" s="5">
        <f>表1_[[#This Row],[年份]]+表1_[[#This Row],[行政区划]]</f>
        <v>512018</v>
      </c>
    </row>
    <row r="228" spans="1:5" x14ac:dyDescent="0.3">
      <c r="A228" s="5" t="s">
        <v>324</v>
      </c>
      <c r="B228" s="5">
        <v>2017</v>
      </c>
      <c r="C228" s="5">
        <v>22.32</v>
      </c>
      <c r="D228" s="5">
        <f>VLOOKUP(表1_[[#This Row],[地区]],Sheet2!A:B,2,0)</f>
        <v>510000</v>
      </c>
      <c r="E228" s="5">
        <f>表1_[[#This Row],[年份]]+表1_[[#This Row],[行政区划]]</f>
        <v>512017</v>
      </c>
    </row>
    <row r="229" spans="1:5" x14ac:dyDescent="0.3">
      <c r="A229" s="5" t="s">
        <v>324</v>
      </c>
      <c r="B229" s="5">
        <v>2016</v>
      </c>
      <c r="C229" s="5">
        <v>30.79</v>
      </c>
      <c r="D229" s="5">
        <f>VLOOKUP(表1_[[#This Row],[地区]],Sheet2!A:B,2,0)</f>
        <v>510000</v>
      </c>
      <c r="E229" s="5">
        <f>表1_[[#This Row],[年份]]+表1_[[#This Row],[行政区划]]</f>
        <v>512016</v>
      </c>
    </row>
    <row r="230" spans="1:5" x14ac:dyDescent="0.3">
      <c r="A230" s="5" t="s">
        <v>324</v>
      </c>
      <c r="B230" s="5">
        <v>2015</v>
      </c>
      <c r="C230" s="5">
        <v>71.760000000000005</v>
      </c>
      <c r="D230" s="5">
        <f>VLOOKUP(表1_[[#This Row],[地区]],Sheet2!A:B,2,0)</f>
        <v>510000</v>
      </c>
      <c r="E230" s="5">
        <f>表1_[[#This Row],[年份]]+表1_[[#This Row],[行政区划]]</f>
        <v>512015</v>
      </c>
    </row>
    <row r="231" spans="1:5" x14ac:dyDescent="0.3">
      <c r="A231" s="5" t="s">
        <v>324</v>
      </c>
      <c r="B231" s="5">
        <v>2014</v>
      </c>
      <c r="C231" s="5">
        <v>79.64</v>
      </c>
      <c r="D231" s="5">
        <f>VLOOKUP(表1_[[#This Row],[地区]],Sheet2!A:B,2,0)</f>
        <v>510000</v>
      </c>
      <c r="E231" s="5">
        <f>表1_[[#This Row],[年份]]+表1_[[#This Row],[行政区划]]</f>
        <v>512014</v>
      </c>
    </row>
    <row r="232" spans="1:5" x14ac:dyDescent="0.3">
      <c r="A232" s="5" t="s">
        <v>325</v>
      </c>
      <c r="B232" s="5">
        <v>2023</v>
      </c>
      <c r="C232" s="5">
        <v>13.44</v>
      </c>
      <c r="D232" s="5">
        <f>VLOOKUP(表1_[[#This Row],[地区]],Sheet2!A:B,2,0)</f>
        <v>520000</v>
      </c>
      <c r="E232" s="5">
        <f>表1_[[#This Row],[年份]]+表1_[[#This Row],[行政区划]]</f>
        <v>522023</v>
      </c>
    </row>
    <row r="233" spans="1:5" x14ac:dyDescent="0.3">
      <c r="A233" s="5" t="s">
        <v>325</v>
      </c>
      <c r="B233" s="5">
        <v>2022</v>
      </c>
      <c r="C233" s="5">
        <v>12.25</v>
      </c>
      <c r="D233" s="5">
        <f>VLOOKUP(表1_[[#This Row],[地区]],Sheet2!A:B,2,0)</f>
        <v>520000</v>
      </c>
      <c r="E233" s="5">
        <f>表1_[[#This Row],[年份]]+表1_[[#This Row],[行政区划]]</f>
        <v>522022</v>
      </c>
    </row>
    <row r="234" spans="1:5" x14ac:dyDescent="0.3">
      <c r="A234" s="5" t="s">
        <v>325</v>
      </c>
      <c r="B234" s="5">
        <v>2021</v>
      </c>
      <c r="C234" s="5">
        <v>14.31</v>
      </c>
      <c r="D234" s="5">
        <f>VLOOKUP(表1_[[#This Row],[地区]],Sheet2!A:B,2,0)</f>
        <v>520000</v>
      </c>
      <c r="E234" s="5">
        <f>表1_[[#This Row],[年份]]+表1_[[#This Row],[行政区划]]</f>
        <v>522021</v>
      </c>
    </row>
    <row r="235" spans="1:5" x14ac:dyDescent="0.3">
      <c r="A235" s="5" t="s">
        <v>325</v>
      </c>
      <c r="B235" s="5">
        <v>2020</v>
      </c>
      <c r="C235" s="5">
        <v>17.739999999999998</v>
      </c>
      <c r="D235" s="5">
        <f>VLOOKUP(表1_[[#This Row],[地区]],Sheet2!A:B,2,0)</f>
        <v>520000</v>
      </c>
      <c r="E235" s="5">
        <f>表1_[[#This Row],[年份]]+表1_[[#This Row],[行政区划]]</f>
        <v>522020</v>
      </c>
    </row>
    <row r="236" spans="1:5" x14ac:dyDescent="0.3">
      <c r="A236" s="5" t="s">
        <v>325</v>
      </c>
      <c r="B236" s="5">
        <v>2019</v>
      </c>
      <c r="C236" s="5">
        <v>23.37</v>
      </c>
      <c r="D236" s="5">
        <f>VLOOKUP(表1_[[#This Row],[地区]],Sheet2!A:B,2,0)</f>
        <v>520000</v>
      </c>
      <c r="E236" s="5">
        <f>表1_[[#This Row],[年份]]+表1_[[#This Row],[行政区划]]</f>
        <v>522019</v>
      </c>
    </row>
    <row r="237" spans="1:5" x14ac:dyDescent="0.3">
      <c r="A237" s="5" t="s">
        <v>325</v>
      </c>
      <c r="B237" s="5">
        <v>2018</v>
      </c>
      <c r="C237" s="5">
        <v>32.549999999999997</v>
      </c>
      <c r="D237" s="5">
        <f>VLOOKUP(表1_[[#This Row],[地区]],Sheet2!A:B,2,0)</f>
        <v>520000</v>
      </c>
      <c r="E237" s="5">
        <f>表1_[[#This Row],[年份]]+表1_[[#This Row],[行政区划]]</f>
        <v>522018</v>
      </c>
    </row>
    <row r="238" spans="1:5" x14ac:dyDescent="0.3">
      <c r="A238" s="5" t="s">
        <v>325</v>
      </c>
      <c r="B238" s="5">
        <v>2017</v>
      </c>
      <c r="C238" s="5">
        <v>35.89</v>
      </c>
      <c r="D238" s="5">
        <f>VLOOKUP(表1_[[#This Row],[地区]],Sheet2!A:B,2,0)</f>
        <v>520000</v>
      </c>
      <c r="E238" s="5">
        <f>表1_[[#This Row],[年份]]+表1_[[#This Row],[行政区划]]</f>
        <v>522017</v>
      </c>
    </row>
    <row r="239" spans="1:5" x14ac:dyDescent="0.3">
      <c r="A239" s="5" t="s">
        <v>325</v>
      </c>
      <c r="B239" s="5">
        <v>2016</v>
      </c>
      <c r="C239" s="5">
        <v>35.369999999999997</v>
      </c>
      <c r="D239" s="5">
        <f>VLOOKUP(表1_[[#This Row],[地区]],Sheet2!A:B,2,0)</f>
        <v>520000</v>
      </c>
      <c r="E239" s="5">
        <f>表1_[[#This Row],[年份]]+表1_[[#This Row],[行政区划]]</f>
        <v>522016</v>
      </c>
    </row>
    <row r="240" spans="1:5" x14ac:dyDescent="0.3">
      <c r="A240" s="5" t="s">
        <v>325</v>
      </c>
      <c r="B240" s="5">
        <v>2015</v>
      </c>
      <c r="C240" s="5">
        <v>85.3</v>
      </c>
      <c r="D240" s="5">
        <f>VLOOKUP(表1_[[#This Row],[地区]],Sheet2!A:B,2,0)</f>
        <v>520000</v>
      </c>
      <c r="E240" s="5">
        <f>表1_[[#This Row],[年份]]+表1_[[#This Row],[行政区划]]</f>
        <v>522015</v>
      </c>
    </row>
    <row r="241" spans="1:5" x14ac:dyDescent="0.3">
      <c r="A241" s="5" t="s">
        <v>325</v>
      </c>
      <c r="B241" s="5">
        <v>2014</v>
      </c>
      <c r="C241" s="5">
        <v>92.58</v>
      </c>
      <c r="D241" s="5">
        <f>VLOOKUP(表1_[[#This Row],[地区]],Sheet2!A:B,2,0)</f>
        <v>520000</v>
      </c>
      <c r="E241" s="5">
        <f>表1_[[#This Row],[年份]]+表1_[[#This Row],[行政区划]]</f>
        <v>522014</v>
      </c>
    </row>
    <row r="242" spans="1:5" x14ac:dyDescent="0.3">
      <c r="A242" s="5" t="s">
        <v>326</v>
      </c>
      <c r="B242" s="5">
        <v>2023</v>
      </c>
      <c r="C242" s="5">
        <v>18.73</v>
      </c>
      <c r="D242" s="5">
        <f>VLOOKUP(表1_[[#This Row],[地区]],Sheet2!A:B,2,0)</f>
        <v>530000</v>
      </c>
      <c r="E242" s="5">
        <f>表1_[[#This Row],[年份]]+表1_[[#This Row],[行政区划]]</f>
        <v>532023</v>
      </c>
    </row>
    <row r="243" spans="1:5" x14ac:dyDescent="0.3">
      <c r="A243" s="5" t="s">
        <v>326</v>
      </c>
      <c r="B243" s="5">
        <v>2022</v>
      </c>
      <c r="C243" s="5">
        <v>18.46</v>
      </c>
      <c r="D243" s="5">
        <f>VLOOKUP(表1_[[#This Row],[地区]],Sheet2!A:B,2,0)</f>
        <v>530000</v>
      </c>
      <c r="E243" s="5">
        <f>表1_[[#This Row],[年份]]+表1_[[#This Row],[行政区划]]</f>
        <v>532022</v>
      </c>
    </row>
    <row r="244" spans="1:5" x14ac:dyDescent="0.3">
      <c r="A244" s="5" t="s">
        <v>326</v>
      </c>
      <c r="B244" s="5">
        <v>2021</v>
      </c>
      <c r="C244" s="5">
        <v>17.309999999999999</v>
      </c>
      <c r="D244" s="5">
        <f>VLOOKUP(表1_[[#This Row],[地区]],Sheet2!A:B,2,0)</f>
        <v>530000</v>
      </c>
      <c r="E244" s="5">
        <f>表1_[[#This Row],[年份]]+表1_[[#This Row],[行政区划]]</f>
        <v>532021</v>
      </c>
    </row>
    <row r="245" spans="1:5" x14ac:dyDescent="0.3">
      <c r="A245" s="5" t="s">
        <v>326</v>
      </c>
      <c r="B245" s="5">
        <v>2020</v>
      </c>
      <c r="C245" s="5">
        <v>17.66</v>
      </c>
      <c r="D245" s="5">
        <f>VLOOKUP(表1_[[#This Row],[地区]],Sheet2!A:B,2,0)</f>
        <v>530000</v>
      </c>
      <c r="E245" s="5">
        <f>表1_[[#This Row],[年份]]+表1_[[#This Row],[行政区划]]</f>
        <v>532020</v>
      </c>
    </row>
    <row r="246" spans="1:5" x14ac:dyDescent="0.3">
      <c r="A246" s="5" t="s">
        <v>326</v>
      </c>
      <c r="B246" s="5">
        <v>2019</v>
      </c>
      <c r="C246" s="5">
        <v>23.58</v>
      </c>
      <c r="D246" s="5">
        <f>VLOOKUP(表1_[[#This Row],[地区]],Sheet2!A:B,2,0)</f>
        <v>530000</v>
      </c>
      <c r="E246" s="5">
        <f>表1_[[#This Row],[年份]]+表1_[[#This Row],[行政区划]]</f>
        <v>532019</v>
      </c>
    </row>
    <row r="247" spans="1:5" x14ac:dyDescent="0.3">
      <c r="A247" s="5" t="s">
        <v>326</v>
      </c>
      <c r="B247" s="5">
        <v>2018</v>
      </c>
      <c r="C247" s="5">
        <v>24.74</v>
      </c>
      <c r="D247" s="5">
        <f>VLOOKUP(表1_[[#This Row],[地区]],Sheet2!A:B,2,0)</f>
        <v>530000</v>
      </c>
      <c r="E247" s="5">
        <f>表1_[[#This Row],[年份]]+表1_[[#This Row],[行政区划]]</f>
        <v>532018</v>
      </c>
    </row>
    <row r="248" spans="1:5" x14ac:dyDescent="0.3">
      <c r="A248" s="5" t="s">
        <v>326</v>
      </c>
      <c r="B248" s="5">
        <v>2017</v>
      </c>
      <c r="C248" s="5">
        <v>26.01</v>
      </c>
      <c r="D248" s="5">
        <f>VLOOKUP(表1_[[#This Row],[地区]],Sheet2!A:B,2,0)</f>
        <v>530000</v>
      </c>
      <c r="E248" s="5">
        <f>表1_[[#This Row],[年份]]+表1_[[#This Row],[行政区划]]</f>
        <v>532017</v>
      </c>
    </row>
    <row r="249" spans="1:5" x14ac:dyDescent="0.3">
      <c r="A249" s="5" t="s">
        <v>326</v>
      </c>
      <c r="B249" s="5">
        <v>2016</v>
      </c>
      <c r="C249" s="5">
        <v>45.17</v>
      </c>
      <c r="D249" s="5">
        <f>VLOOKUP(表1_[[#This Row],[地区]],Sheet2!A:B,2,0)</f>
        <v>530000</v>
      </c>
      <c r="E249" s="5">
        <f>表1_[[#This Row],[年份]]+表1_[[#This Row],[行政区划]]</f>
        <v>532016</v>
      </c>
    </row>
    <row r="250" spans="1:5" x14ac:dyDescent="0.3">
      <c r="A250" s="5" t="s">
        <v>326</v>
      </c>
      <c r="B250" s="5">
        <v>2015</v>
      </c>
      <c r="C250" s="5">
        <v>58.37</v>
      </c>
      <c r="D250" s="5">
        <f>VLOOKUP(表1_[[#This Row],[地区]],Sheet2!A:B,2,0)</f>
        <v>530000</v>
      </c>
      <c r="E250" s="5">
        <f>表1_[[#This Row],[年份]]+表1_[[#This Row],[行政区划]]</f>
        <v>532015</v>
      </c>
    </row>
    <row r="251" spans="1:5" x14ac:dyDescent="0.3">
      <c r="A251" s="5" t="s">
        <v>326</v>
      </c>
      <c r="B251" s="5">
        <v>2014</v>
      </c>
      <c r="C251" s="5">
        <v>63.67</v>
      </c>
      <c r="D251" s="5">
        <f>VLOOKUP(表1_[[#This Row],[地区]],Sheet2!A:B,2,0)</f>
        <v>530000</v>
      </c>
      <c r="E251" s="5">
        <f>表1_[[#This Row],[年份]]+表1_[[#This Row],[行政区划]]</f>
        <v>532014</v>
      </c>
    </row>
    <row r="252" spans="1:5" x14ac:dyDescent="0.3">
      <c r="A252" s="5" t="s">
        <v>327</v>
      </c>
      <c r="B252" s="5">
        <v>2023</v>
      </c>
      <c r="C252" s="5">
        <v>6.13</v>
      </c>
      <c r="D252" s="5">
        <f>VLOOKUP(表1_[[#This Row],[地区]],Sheet2!A:B,2,0)</f>
        <v>610000</v>
      </c>
      <c r="E252" s="5">
        <f>表1_[[#This Row],[年份]]+表1_[[#This Row],[行政区划]]</f>
        <v>612023</v>
      </c>
    </row>
    <row r="253" spans="1:5" x14ac:dyDescent="0.3">
      <c r="A253" s="5" t="s">
        <v>327</v>
      </c>
      <c r="B253" s="5">
        <v>2022</v>
      </c>
      <c r="C253" s="5">
        <v>6.72</v>
      </c>
      <c r="D253" s="5">
        <f>VLOOKUP(表1_[[#This Row],[地区]],Sheet2!A:B,2,0)</f>
        <v>610000</v>
      </c>
      <c r="E253" s="5">
        <f>表1_[[#This Row],[年份]]+表1_[[#This Row],[行政区划]]</f>
        <v>612022</v>
      </c>
    </row>
    <row r="254" spans="1:5" x14ac:dyDescent="0.3">
      <c r="A254" s="5" t="s">
        <v>327</v>
      </c>
      <c r="B254" s="5">
        <v>2021</v>
      </c>
      <c r="C254" s="5">
        <v>8.11</v>
      </c>
      <c r="D254" s="5">
        <f>VLOOKUP(表1_[[#This Row],[地区]],Sheet2!A:B,2,0)</f>
        <v>610000</v>
      </c>
      <c r="E254" s="5">
        <f>表1_[[#This Row],[年份]]+表1_[[#This Row],[行政区划]]</f>
        <v>612021</v>
      </c>
    </row>
    <row r="255" spans="1:5" x14ac:dyDescent="0.3">
      <c r="A255" s="5" t="s">
        <v>327</v>
      </c>
      <c r="B255" s="5">
        <v>2020</v>
      </c>
      <c r="C255" s="5">
        <v>9.3699999999999992</v>
      </c>
      <c r="D255" s="5">
        <f>VLOOKUP(表1_[[#This Row],[地区]],Sheet2!A:B,2,0)</f>
        <v>610000</v>
      </c>
      <c r="E255" s="5">
        <f>表1_[[#This Row],[年份]]+表1_[[#This Row],[行政区划]]</f>
        <v>612020</v>
      </c>
    </row>
    <row r="256" spans="1:5" x14ac:dyDescent="0.3">
      <c r="A256" s="5" t="s">
        <v>327</v>
      </c>
      <c r="B256" s="5">
        <v>2019</v>
      </c>
      <c r="C256" s="5">
        <v>14.33</v>
      </c>
      <c r="D256" s="5">
        <f>VLOOKUP(表1_[[#This Row],[地区]],Sheet2!A:B,2,0)</f>
        <v>610000</v>
      </c>
      <c r="E256" s="5">
        <f>表1_[[#This Row],[年份]]+表1_[[#This Row],[行政区划]]</f>
        <v>612019</v>
      </c>
    </row>
    <row r="257" spans="1:5" x14ac:dyDescent="0.3">
      <c r="A257" s="5" t="s">
        <v>327</v>
      </c>
      <c r="B257" s="5">
        <v>2018</v>
      </c>
      <c r="C257" s="5">
        <v>14.72</v>
      </c>
      <c r="D257" s="5">
        <f>VLOOKUP(表1_[[#This Row],[地区]],Sheet2!A:B,2,0)</f>
        <v>610000</v>
      </c>
      <c r="E257" s="5">
        <f>表1_[[#This Row],[年份]]+表1_[[#This Row],[行政区划]]</f>
        <v>612018</v>
      </c>
    </row>
    <row r="258" spans="1:5" x14ac:dyDescent="0.3">
      <c r="A258" s="5" t="s">
        <v>327</v>
      </c>
      <c r="B258" s="5">
        <v>2017</v>
      </c>
      <c r="C258" s="5">
        <v>18.579999999999998</v>
      </c>
      <c r="D258" s="5">
        <f>VLOOKUP(表1_[[#This Row],[地区]],Sheet2!A:B,2,0)</f>
        <v>610000</v>
      </c>
      <c r="E258" s="5">
        <f>表1_[[#This Row],[年份]]+表1_[[#This Row],[行政区划]]</f>
        <v>612017</v>
      </c>
    </row>
    <row r="259" spans="1:5" x14ac:dyDescent="0.3">
      <c r="A259" s="5" t="s">
        <v>327</v>
      </c>
      <c r="B259" s="5">
        <v>2016</v>
      </c>
      <c r="C259" s="5">
        <v>25.02</v>
      </c>
      <c r="D259" s="5">
        <f>VLOOKUP(表1_[[#This Row],[地区]],Sheet2!A:B,2,0)</f>
        <v>610000</v>
      </c>
      <c r="E259" s="5">
        <f>表1_[[#This Row],[年份]]+表1_[[#This Row],[行政区划]]</f>
        <v>612016</v>
      </c>
    </row>
    <row r="260" spans="1:5" x14ac:dyDescent="0.3">
      <c r="A260" s="5" t="s">
        <v>327</v>
      </c>
      <c r="B260" s="5">
        <v>2015</v>
      </c>
      <c r="C260" s="5">
        <v>73.5</v>
      </c>
      <c r="D260" s="5">
        <f>VLOOKUP(表1_[[#This Row],[地区]],Sheet2!A:B,2,0)</f>
        <v>610000</v>
      </c>
      <c r="E260" s="5">
        <f>表1_[[#This Row],[年份]]+表1_[[#This Row],[行政区划]]</f>
        <v>612015</v>
      </c>
    </row>
    <row r="261" spans="1:5" x14ac:dyDescent="0.3">
      <c r="A261" s="5" t="s">
        <v>327</v>
      </c>
      <c r="B261" s="5">
        <v>2014</v>
      </c>
      <c r="C261" s="5">
        <v>78.099999999999994</v>
      </c>
      <c r="D261" s="5">
        <f>VLOOKUP(表1_[[#This Row],[地区]],Sheet2!A:B,2,0)</f>
        <v>610000</v>
      </c>
      <c r="E261" s="5">
        <f>表1_[[#This Row],[年份]]+表1_[[#This Row],[行政区划]]</f>
        <v>612014</v>
      </c>
    </row>
    <row r="262" spans="1:5" x14ac:dyDescent="0.3">
      <c r="A262" s="5" t="s">
        <v>328</v>
      </c>
      <c r="B262" s="5">
        <v>2023</v>
      </c>
      <c r="C262" s="5">
        <v>7.77</v>
      </c>
      <c r="D262" s="5">
        <f>VLOOKUP(表1_[[#This Row],[地区]],Sheet2!A:B,2,0)</f>
        <v>620000</v>
      </c>
      <c r="E262" s="5">
        <f>表1_[[#This Row],[年份]]+表1_[[#This Row],[行政区划]]</f>
        <v>622023</v>
      </c>
    </row>
    <row r="263" spans="1:5" x14ac:dyDescent="0.3">
      <c r="A263" s="5" t="s">
        <v>328</v>
      </c>
      <c r="B263" s="5">
        <v>2022</v>
      </c>
      <c r="C263" s="5">
        <v>7.67</v>
      </c>
      <c r="D263" s="5">
        <f>VLOOKUP(表1_[[#This Row],[地区]],Sheet2!A:B,2,0)</f>
        <v>620000</v>
      </c>
      <c r="E263" s="5">
        <f>表1_[[#This Row],[年份]]+表1_[[#This Row],[行政区划]]</f>
        <v>622022</v>
      </c>
    </row>
    <row r="264" spans="1:5" x14ac:dyDescent="0.3">
      <c r="A264" s="5" t="s">
        <v>328</v>
      </c>
      <c r="B264" s="5">
        <v>2021</v>
      </c>
      <c r="C264" s="5">
        <v>8.4700000000000006</v>
      </c>
      <c r="D264" s="5">
        <f>VLOOKUP(表1_[[#This Row],[地区]],Sheet2!A:B,2,0)</f>
        <v>620000</v>
      </c>
      <c r="E264" s="5">
        <f>表1_[[#This Row],[年份]]+表1_[[#This Row],[行政区划]]</f>
        <v>622021</v>
      </c>
    </row>
    <row r="265" spans="1:5" x14ac:dyDescent="0.3">
      <c r="A265" s="5" t="s">
        <v>328</v>
      </c>
      <c r="B265" s="5">
        <v>2020</v>
      </c>
      <c r="C265" s="5">
        <v>8.58</v>
      </c>
      <c r="D265" s="5">
        <f>VLOOKUP(表1_[[#This Row],[地区]],Sheet2!A:B,2,0)</f>
        <v>620000</v>
      </c>
      <c r="E265" s="5">
        <f>表1_[[#This Row],[年份]]+表1_[[#This Row],[行政区划]]</f>
        <v>622020</v>
      </c>
    </row>
    <row r="266" spans="1:5" x14ac:dyDescent="0.3">
      <c r="A266" s="5" t="s">
        <v>328</v>
      </c>
      <c r="B266" s="5">
        <v>2019</v>
      </c>
      <c r="C266" s="5">
        <v>11.29</v>
      </c>
      <c r="D266" s="5">
        <f>VLOOKUP(表1_[[#This Row],[地区]],Sheet2!A:B,2,0)</f>
        <v>620000</v>
      </c>
      <c r="E266" s="5">
        <f>表1_[[#This Row],[年份]]+表1_[[#This Row],[行政区划]]</f>
        <v>622019</v>
      </c>
    </row>
    <row r="267" spans="1:5" x14ac:dyDescent="0.3">
      <c r="A267" s="5" t="s">
        <v>328</v>
      </c>
      <c r="B267" s="5">
        <v>2018</v>
      </c>
      <c r="C267" s="5">
        <v>12.55</v>
      </c>
      <c r="D267" s="5">
        <f>VLOOKUP(表1_[[#This Row],[地区]],Sheet2!A:B,2,0)</f>
        <v>620000</v>
      </c>
      <c r="E267" s="5">
        <f>表1_[[#This Row],[年份]]+表1_[[#This Row],[行政区划]]</f>
        <v>622018</v>
      </c>
    </row>
    <row r="268" spans="1:5" x14ac:dyDescent="0.3">
      <c r="A268" s="5" t="s">
        <v>328</v>
      </c>
      <c r="B268" s="5">
        <v>2017</v>
      </c>
      <c r="C268" s="5">
        <v>13.13</v>
      </c>
      <c r="D268" s="5">
        <f>VLOOKUP(表1_[[#This Row],[地区]],Sheet2!A:B,2,0)</f>
        <v>620000</v>
      </c>
      <c r="E268" s="5">
        <f>表1_[[#This Row],[年份]]+表1_[[#This Row],[行政区划]]</f>
        <v>622017</v>
      </c>
    </row>
    <row r="269" spans="1:5" x14ac:dyDescent="0.3">
      <c r="A269" s="5" t="s">
        <v>328</v>
      </c>
      <c r="B269" s="5">
        <v>2016</v>
      </c>
      <c r="C269" s="5">
        <v>15.67</v>
      </c>
      <c r="D269" s="5">
        <f>VLOOKUP(表1_[[#This Row],[地区]],Sheet2!A:B,2,0)</f>
        <v>620000</v>
      </c>
      <c r="E269" s="5">
        <f>表1_[[#This Row],[年份]]+表1_[[#This Row],[行政区划]]</f>
        <v>622016</v>
      </c>
    </row>
    <row r="270" spans="1:5" x14ac:dyDescent="0.3">
      <c r="A270" s="5" t="s">
        <v>328</v>
      </c>
      <c r="B270" s="5">
        <v>2015</v>
      </c>
      <c r="C270" s="5">
        <v>57.06</v>
      </c>
      <c r="D270" s="5">
        <f>VLOOKUP(表1_[[#This Row],[地区]],Sheet2!A:B,2,0)</f>
        <v>620000</v>
      </c>
      <c r="E270" s="5">
        <f>表1_[[#This Row],[年份]]+表1_[[#This Row],[行政区划]]</f>
        <v>622015</v>
      </c>
    </row>
    <row r="271" spans="1:5" x14ac:dyDescent="0.3">
      <c r="A271" s="5" t="s">
        <v>328</v>
      </c>
      <c r="B271" s="5">
        <v>2014</v>
      </c>
      <c r="C271" s="5">
        <v>57.56</v>
      </c>
      <c r="D271" s="5">
        <f>VLOOKUP(表1_[[#This Row],[地区]],Sheet2!A:B,2,0)</f>
        <v>620000</v>
      </c>
      <c r="E271" s="5">
        <f>表1_[[#This Row],[年份]]+表1_[[#This Row],[行政区划]]</f>
        <v>622014</v>
      </c>
    </row>
    <row r="272" spans="1:5" x14ac:dyDescent="0.3">
      <c r="A272" s="5" t="s">
        <v>329</v>
      </c>
      <c r="B272" s="5">
        <v>2023</v>
      </c>
      <c r="C272" s="5">
        <v>3.92</v>
      </c>
      <c r="D272" s="5">
        <f>VLOOKUP(表1_[[#This Row],[地区]],Sheet2!A:B,2,0)</f>
        <v>630000</v>
      </c>
      <c r="E272" s="5">
        <f>表1_[[#This Row],[年份]]+表1_[[#This Row],[行政区划]]</f>
        <v>632023</v>
      </c>
    </row>
    <row r="273" spans="1:5" x14ac:dyDescent="0.3">
      <c r="A273" s="5" t="s">
        <v>329</v>
      </c>
      <c r="B273" s="5">
        <v>2022</v>
      </c>
      <c r="C273" s="5">
        <v>4.0999999999999996</v>
      </c>
      <c r="D273" s="5">
        <f>VLOOKUP(表1_[[#This Row],[地区]],Sheet2!A:B,2,0)</f>
        <v>630000</v>
      </c>
      <c r="E273" s="5">
        <f>表1_[[#This Row],[年份]]+表1_[[#This Row],[行政区划]]</f>
        <v>632022</v>
      </c>
    </row>
    <row r="274" spans="1:5" x14ac:dyDescent="0.3">
      <c r="A274" s="5" t="s">
        <v>329</v>
      </c>
      <c r="B274" s="5">
        <v>2021</v>
      </c>
      <c r="C274" s="5">
        <v>4.08</v>
      </c>
      <c r="D274" s="5">
        <f>VLOOKUP(表1_[[#This Row],[地区]],Sheet2!A:B,2,0)</f>
        <v>630000</v>
      </c>
      <c r="E274" s="5">
        <f>表1_[[#This Row],[年份]]+表1_[[#This Row],[行政区划]]</f>
        <v>632021</v>
      </c>
    </row>
    <row r="275" spans="1:5" x14ac:dyDescent="0.3">
      <c r="A275" s="5" t="s">
        <v>329</v>
      </c>
      <c r="B275" s="5">
        <v>2020</v>
      </c>
      <c r="C275" s="5">
        <v>4.01</v>
      </c>
      <c r="D275" s="5">
        <f>VLOOKUP(表1_[[#This Row],[地区]],Sheet2!A:B,2,0)</f>
        <v>630000</v>
      </c>
      <c r="E275" s="5">
        <f>表1_[[#This Row],[年份]]+表1_[[#This Row],[行政区划]]</f>
        <v>632020</v>
      </c>
    </row>
    <row r="276" spans="1:5" x14ac:dyDescent="0.3">
      <c r="A276" s="5" t="s">
        <v>329</v>
      </c>
      <c r="B276" s="5">
        <v>2019</v>
      </c>
      <c r="C276" s="5">
        <v>4.32</v>
      </c>
      <c r="D276" s="5">
        <f>VLOOKUP(表1_[[#This Row],[地区]],Sheet2!A:B,2,0)</f>
        <v>630000</v>
      </c>
      <c r="E276" s="5">
        <f>表1_[[#This Row],[年份]]+表1_[[#This Row],[行政区划]]</f>
        <v>632019</v>
      </c>
    </row>
    <row r="277" spans="1:5" x14ac:dyDescent="0.3">
      <c r="A277" s="5" t="s">
        <v>329</v>
      </c>
      <c r="B277" s="5">
        <v>2018</v>
      </c>
      <c r="C277" s="5">
        <v>4.6500000000000004</v>
      </c>
      <c r="D277" s="5">
        <f>VLOOKUP(表1_[[#This Row],[地区]],Sheet2!A:B,2,0)</f>
        <v>630000</v>
      </c>
      <c r="E277" s="5">
        <f>表1_[[#This Row],[年份]]+表1_[[#This Row],[行政区划]]</f>
        <v>632018</v>
      </c>
    </row>
    <row r="278" spans="1:5" x14ac:dyDescent="0.3">
      <c r="A278" s="5" t="s">
        <v>329</v>
      </c>
      <c r="B278" s="5">
        <v>2017</v>
      </c>
      <c r="C278" s="5">
        <v>5.03</v>
      </c>
      <c r="D278" s="5">
        <f>VLOOKUP(表1_[[#This Row],[地区]],Sheet2!A:B,2,0)</f>
        <v>630000</v>
      </c>
      <c r="E278" s="5">
        <f>表1_[[#This Row],[年份]]+表1_[[#This Row],[行政区划]]</f>
        <v>632017</v>
      </c>
    </row>
    <row r="279" spans="1:5" x14ac:dyDescent="0.3">
      <c r="A279" s="5" t="s">
        <v>329</v>
      </c>
      <c r="B279" s="5">
        <v>2016</v>
      </c>
      <c r="C279" s="5">
        <v>5.62</v>
      </c>
      <c r="D279" s="5">
        <f>VLOOKUP(表1_[[#This Row],[地区]],Sheet2!A:B,2,0)</f>
        <v>630000</v>
      </c>
      <c r="E279" s="5">
        <f>表1_[[#This Row],[年份]]+表1_[[#This Row],[行政区划]]</f>
        <v>632016</v>
      </c>
    </row>
    <row r="280" spans="1:5" x14ac:dyDescent="0.3">
      <c r="A280" s="5" t="s">
        <v>329</v>
      </c>
      <c r="B280" s="5">
        <v>2015</v>
      </c>
      <c r="C280" s="5">
        <v>15.08</v>
      </c>
      <c r="D280" s="5">
        <f>VLOOKUP(表1_[[#This Row],[地区]],Sheet2!A:B,2,0)</f>
        <v>630000</v>
      </c>
      <c r="E280" s="5">
        <f>表1_[[#This Row],[年份]]+表1_[[#This Row],[行政区划]]</f>
        <v>632015</v>
      </c>
    </row>
    <row r="281" spans="1:5" x14ac:dyDescent="0.3">
      <c r="A281" s="5" t="s">
        <v>329</v>
      </c>
      <c r="B281" s="5">
        <v>2014</v>
      </c>
      <c r="C281" s="5">
        <v>15.43</v>
      </c>
      <c r="D281" s="5">
        <f>VLOOKUP(表1_[[#This Row],[地区]],Sheet2!A:B,2,0)</f>
        <v>630000</v>
      </c>
      <c r="E281" s="5">
        <f>表1_[[#This Row],[年份]]+表1_[[#This Row],[行政区划]]</f>
        <v>632014</v>
      </c>
    </row>
    <row r="282" spans="1:5" x14ac:dyDescent="0.3">
      <c r="A282" s="5" t="s">
        <v>330</v>
      </c>
      <c r="B282" s="5">
        <v>2023</v>
      </c>
      <c r="C282" s="5">
        <v>5.31</v>
      </c>
      <c r="D282" s="5">
        <f>VLOOKUP(表1_[[#This Row],[地区]],Sheet2!A:B,2,0)</f>
        <v>640000</v>
      </c>
      <c r="E282" s="5">
        <f>表1_[[#This Row],[年份]]+表1_[[#This Row],[行政区划]]</f>
        <v>642023</v>
      </c>
    </row>
    <row r="283" spans="1:5" x14ac:dyDescent="0.3">
      <c r="A283" s="5" t="s">
        <v>330</v>
      </c>
      <c r="B283" s="5">
        <v>2022</v>
      </c>
      <c r="C283" s="5">
        <v>5.48</v>
      </c>
      <c r="D283" s="5">
        <f>VLOOKUP(表1_[[#This Row],[地区]],Sheet2!A:B,2,0)</f>
        <v>640000</v>
      </c>
      <c r="E283" s="5">
        <f>表1_[[#This Row],[年份]]+表1_[[#This Row],[行政区划]]</f>
        <v>642022</v>
      </c>
    </row>
    <row r="284" spans="1:5" x14ac:dyDescent="0.3">
      <c r="A284" s="5" t="s">
        <v>330</v>
      </c>
      <c r="B284" s="5">
        <v>2021</v>
      </c>
      <c r="C284" s="5">
        <v>6.03</v>
      </c>
      <c r="D284" s="5">
        <f>VLOOKUP(表1_[[#This Row],[地区]],Sheet2!A:B,2,0)</f>
        <v>640000</v>
      </c>
      <c r="E284" s="5">
        <f>表1_[[#This Row],[年份]]+表1_[[#This Row],[行政区划]]</f>
        <v>642021</v>
      </c>
    </row>
    <row r="285" spans="1:5" x14ac:dyDescent="0.3">
      <c r="A285" s="5" t="s">
        <v>330</v>
      </c>
      <c r="B285" s="5">
        <v>2020</v>
      </c>
      <c r="C285" s="5">
        <v>7.16</v>
      </c>
      <c r="D285" s="5">
        <f>VLOOKUP(表1_[[#This Row],[地区]],Sheet2!A:B,2,0)</f>
        <v>640000</v>
      </c>
      <c r="E285" s="5">
        <f>表1_[[#This Row],[年份]]+表1_[[#This Row],[行政区划]]</f>
        <v>642020</v>
      </c>
    </row>
    <row r="286" spans="1:5" x14ac:dyDescent="0.3">
      <c r="A286" s="5" t="s">
        <v>330</v>
      </c>
      <c r="B286" s="5">
        <v>2019</v>
      </c>
      <c r="C286" s="5">
        <v>12.5</v>
      </c>
      <c r="D286" s="5">
        <f>VLOOKUP(表1_[[#This Row],[地区]],Sheet2!A:B,2,0)</f>
        <v>640000</v>
      </c>
      <c r="E286" s="5">
        <f>表1_[[#This Row],[年份]]+表1_[[#This Row],[行政区划]]</f>
        <v>642019</v>
      </c>
    </row>
    <row r="287" spans="1:5" x14ac:dyDescent="0.3">
      <c r="A287" s="5" t="s">
        <v>330</v>
      </c>
      <c r="B287" s="5">
        <v>2018</v>
      </c>
      <c r="C287" s="5">
        <v>13.06</v>
      </c>
      <c r="D287" s="5">
        <f>VLOOKUP(表1_[[#This Row],[地区]],Sheet2!A:B,2,0)</f>
        <v>640000</v>
      </c>
      <c r="E287" s="5">
        <f>表1_[[#This Row],[年份]]+表1_[[#This Row],[行政区划]]</f>
        <v>642018</v>
      </c>
    </row>
    <row r="288" spans="1:5" x14ac:dyDescent="0.3">
      <c r="A288" s="5" t="s">
        <v>330</v>
      </c>
      <c r="B288" s="5">
        <v>2017</v>
      </c>
      <c r="C288" s="5">
        <v>14.81</v>
      </c>
      <c r="D288" s="5">
        <f>VLOOKUP(表1_[[#This Row],[地区]],Sheet2!A:B,2,0)</f>
        <v>640000</v>
      </c>
      <c r="E288" s="5">
        <f>表1_[[#This Row],[年份]]+表1_[[#This Row],[行政区划]]</f>
        <v>642017</v>
      </c>
    </row>
    <row r="289" spans="1:5" x14ac:dyDescent="0.3">
      <c r="A289" s="5" t="s">
        <v>330</v>
      </c>
      <c r="B289" s="5">
        <v>2016</v>
      </c>
      <c r="C289" s="5">
        <v>19.649999999999999</v>
      </c>
      <c r="D289" s="5">
        <f>VLOOKUP(表1_[[#This Row],[地区]],Sheet2!A:B,2,0)</f>
        <v>640000</v>
      </c>
      <c r="E289" s="5">
        <f>表1_[[#This Row],[年份]]+表1_[[#This Row],[行政区划]]</f>
        <v>642016</v>
      </c>
    </row>
    <row r="290" spans="1:5" x14ac:dyDescent="0.3">
      <c r="A290" s="5" t="s">
        <v>330</v>
      </c>
      <c r="B290" s="5">
        <v>2015</v>
      </c>
      <c r="C290" s="5">
        <v>35.76</v>
      </c>
      <c r="D290" s="5">
        <f>VLOOKUP(表1_[[#This Row],[地区]],Sheet2!A:B,2,0)</f>
        <v>640000</v>
      </c>
      <c r="E290" s="5">
        <f>表1_[[#This Row],[年份]]+表1_[[#This Row],[行政区划]]</f>
        <v>642015</v>
      </c>
    </row>
    <row r="291" spans="1:5" x14ac:dyDescent="0.3">
      <c r="A291" s="5" t="s">
        <v>330</v>
      </c>
      <c r="B291" s="5">
        <v>2014</v>
      </c>
      <c r="C291" s="5">
        <v>37.71</v>
      </c>
      <c r="D291" s="5">
        <f>VLOOKUP(表1_[[#This Row],[地区]],Sheet2!A:B,2,0)</f>
        <v>640000</v>
      </c>
      <c r="E291" s="5">
        <f>表1_[[#This Row],[年份]]+表1_[[#This Row],[行政区划]]</f>
        <v>642014</v>
      </c>
    </row>
    <row r="292" spans="1:5" x14ac:dyDescent="0.3">
      <c r="A292" s="5" t="s">
        <v>331</v>
      </c>
      <c r="B292" s="5">
        <v>2023</v>
      </c>
      <c r="C292" s="5">
        <v>8.73</v>
      </c>
      <c r="D292" s="5">
        <f>VLOOKUP(表1_[[#This Row],[地区]],Sheet2!A:B,2,0)</f>
        <v>650000</v>
      </c>
      <c r="E292" s="5">
        <f>表1_[[#This Row],[年份]]+表1_[[#This Row],[行政区划]]</f>
        <v>652023</v>
      </c>
    </row>
    <row r="293" spans="1:5" x14ac:dyDescent="0.3">
      <c r="A293" s="5" t="s">
        <v>331</v>
      </c>
      <c r="B293" s="5">
        <v>2022</v>
      </c>
      <c r="C293" s="5">
        <v>10.199999999999999</v>
      </c>
      <c r="D293" s="5">
        <f>VLOOKUP(表1_[[#This Row],[地区]],Sheet2!A:B,2,0)</f>
        <v>650000</v>
      </c>
      <c r="E293" s="5">
        <f>表1_[[#This Row],[年份]]+表1_[[#This Row],[行政区划]]</f>
        <v>652022</v>
      </c>
    </row>
    <row r="294" spans="1:5" x14ac:dyDescent="0.3">
      <c r="A294" s="5" t="s">
        <v>331</v>
      </c>
      <c r="B294" s="5">
        <v>2021</v>
      </c>
      <c r="C294" s="5">
        <v>13.33</v>
      </c>
      <c r="D294" s="5">
        <f>VLOOKUP(表1_[[#This Row],[地区]],Sheet2!A:B,2,0)</f>
        <v>650000</v>
      </c>
      <c r="E294" s="5">
        <f>表1_[[#This Row],[年份]]+表1_[[#This Row],[行政区划]]</f>
        <v>652021</v>
      </c>
    </row>
    <row r="295" spans="1:5" x14ac:dyDescent="0.3">
      <c r="A295" s="5" t="s">
        <v>331</v>
      </c>
      <c r="B295" s="5">
        <v>2020</v>
      </c>
      <c r="C295" s="5">
        <v>14.48</v>
      </c>
      <c r="D295" s="5">
        <f>VLOOKUP(表1_[[#This Row],[地区]],Sheet2!A:B,2,0)</f>
        <v>650000</v>
      </c>
      <c r="E295" s="5">
        <f>表1_[[#This Row],[年份]]+表1_[[#This Row],[行政区划]]</f>
        <v>652020</v>
      </c>
    </row>
    <row r="296" spans="1:5" x14ac:dyDescent="0.3">
      <c r="A296" s="5" t="s">
        <v>331</v>
      </c>
      <c r="B296" s="5">
        <v>2019</v>
      </c>
      <c r="C296" s="5">
        <v>23.86</v>
      </c>
      <c r="D296" s="5">
        <f>VLOOKUP(表1_[[#This Row],[地区]],Sheet2!A:B,2,0)</f>
        <v>650000</v>
      </c>
      <c r="E296" s="5">
        <f>表1_[[#This Row],[年份]]+表1_[[#This Row],[行政区划]]</f>
        <v>652019</v>
      </c>
    </row>
    <row r="297" spans="1:5" x14ac:dyDescent="0.3">
      <c r="A297" s="5" t="s">
        <v>331</v>
      </c>
      <c r="B297" s="5">
        <v>2018</v>
      </c>
      <c r="C297" s="5">
        <v>27.51</v>
      </c>
      <c r="D297" s="5">
        <f>VLOOKUP(表1_[[#This Row],[地区]],Sheet2!A:B,2,0)</f>
        <v>650000</v>
      </c>
      <c r="E297" s="5">
        <f>表1_[[#This Row],[年份]]+表1_[[#This Row],[行政区划]]</f>
        <v>652018</v>
      </c>
    </row>
    <row r="298" spans="1:5" x14ac:dyDescent="0.3">
      <c r="A298" s="5" t="s">
        <v>331</v>
      </c>
      <c r="B298" s="5">
        <v>2017</v>
      </c>
      <c r="C298" s="5">
        <v>33.69</v>
      </c>
      <c r="D298" s="5">
        <f>VLOOKUP(表1_[[#This Row],[地区]],Sheet2!A:B,2,0)</f>
        <v>650000</v>
      </c>
      <c r="E298" s="5">
        <f>表1_[[#This Row],[年份]]+表1_[[#This Row],[行政区划]]</f>
        <v>652017</v>
      </c>
    </row>
    <row r="299" spans="1:5" x14ac:dyDescent="0.3">
      <c r="A299" s="5" t="s">
        <v>331</v>
      </c>
      <c r="B299" s="5">
        <v>2016</v>
      </c>
      <c r="C299" s="5">
        <v>41.24</v>
      </c>
      <c r="D299" s="5">
        <f>VLOOKUP(表1_[[#This Row],[地区]],Sheet2!A:B,2,0)</f>
        <v>650000</v>
      </c>
      <c r="E299" s="5">
        <f>表1_[[#This Row],[年份]]+表1_[[#This Row],[行政区划]]</f>
        <v>652016</v>
      </c>
    </row>
    <row r="300" spans="1:5" x14ac:dyDescent="0.3">
      <c r="A300" s="5" t="s">
        <v>331</v>
      </c>
      <c r="B300" s="5">
        <v>2015</v>
      </c>
      <c r="C300" s="5">
        <v>77.83</v>
      </c>
      <c r="D300" s="5">
        <f>VLOOKUP(表1_[[#This Row],[地区]],Sheet2!A:B,2,0)</f>
        <v>650000</v>
      </c>
      <c r="E300" s="5">
        <f>表1_[[#This Row],[年份]]+表1_[[#This Row],[行政区划]]</f>
        <v>652015</v>
      </c>
    </row>
    <row r="301" spans="1:5" x14ac:dyDescent="0.3">
      <c r="A301" s="5" t="s">
        <v>331</v>
      </c>
      <c r="B301" s="5">
        <v>2014</v>
      </c>
      <c r="C301" s="5">
        <v>85.3</v>
      </c>
      <c r="D301" s="5">
        <f>VLOOKUP(表1_[[#This Row],[地区]],Sheet2!A:B,2,0)</f>
        <v>650000</v>
      </c>
      <c r="E301" s="5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6A500-7122-44C2-9743-E1339B5BD160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335</v>
      </c>
      <c r="B1" s="4" t="s">
        <v>336</v>
      </c>
    </row>
    <row r="2" spans="1:2" x14ac:dyDescent="0.3">
      <c r="A2" s="4" t="s">
        <v>302</v>
      </c>
      <c r="B2" s="4">
        <v>110000</v>
      </c>
    </row>
    <row r="3" spans="1:2" x14ac:dyDescent="0.3">
      <c r="A3" s="4" t="s">
        <v>303</v>
      </c>
      <c r="B3" s="4">
        <v>120000</v>
      </c>
    </row>
    <row r="4" spans="1:2" x14ac:dyDescent="0.3">
      <c r="A4" s="4" t="s">
        <v>304</v>
      </c>
      <c r="B4" s="4">
        <v>130000</v>
      </c>
    </row>
    <row r="5" spans="1:2" x14ac:dyDescent="0.3">
      <c r="A5" s="4" t="s">
        <v>305</v>
      </c>
      <c r="B5" s="4">
        <v>140000</v>
      </c>
    </row>
    <row r="6" spans="1:2" x14ac:dyDescent="0.3">
      <c r="A6" s="4" t="s">
        <v>306</v>
      </c>
      <c r="B6" s="4">
        <v>150000</v>
      </c>
    </row>
    <row r="7" spans="1:2" x14ac:dyDescent="0.3">
      <c r="A7" s="4" t="s">
        <v>307</v>
      </c>
      <c r="B7" s="4">
        <v>210000</v>
      </c>
    </row>
    <row r="8" spans="1:2" x14ac:dyDescent="0.3">
      <c r="A8" s="4" t="s">
        <v>308</v>
      </c>
      <c r="B8" s="4">
        <v>220000</v>
      </c>
    </row>
    <row r="9" spans="1:2" x14ac:dyDescent="0.3">
      <c r="A9" s="4" t="s">
        <v>309</v>
      </c>
      <c r="B9" s="4">
        <v>230000</v>
      </c>
    </row>
    <row r="10" spans="1:2" x14ac:dyDescent="0.3">
      <c r="A10" s="4" t="s">
        <v>310</v>
      </c>
      <c r="B10" s="4">
        <v>310000</v>
      </c>
    </row>
    <row r="11" spans="1:2" x14ac:dyDescent="0.3">
      <c r="A11" s="4" t="s">
        <v>311</v>
      </c>
      <c r="B11" s="4">
        <v>320000</v>
      </c>
    </row>
    <row r="12" spans="1:2" x14ac:dyDescent="0.3">
      <c r="A12" s="4" t="s">
        <v>312</v>
      </c>
      <c r="B12" s="4">
        <v>330000</v>
      </c>
    </row>
    <row r="13" spans="1:2" x14ac:dyDescent="0.3">
      <c r="A13" s="4" t="s">
        <v>313</v>
      </c>
      <c r="B13" s="4">
        <v>340000</v>
      </c>
    </row>
    <row r="14" spans="1:2" x14ac:dyDescent="0.3">
      <c r="A14" s="4" t="s">
        <v>314</v>
      </c>
      <c r="B14" s="4">
        <v>350000</v>
      </c>
    </row>
    <row r="15" spans="1:2" x14ac:dyDescent="0.3">
      <c r="A15" s="4" t="s">
        <v>315</v>
      </c>
      <c r="B15" s="4">
        <v>360000</v>
      </c>
    </row>
    <row r="16" spans="1:2" x14ac:dyDescent="0.3">
      <c r="A16" s="4" t="s">
        <v>316</v>
      </c>
      <c r="B16" s="4">
        <v>370000</v>
      </c>
    </row>
    <row r="17" spans="1:2" x14ac:dyDescent="0.3">
      <c r="A17" s="4" t="s">
        <v>317</v>
      </c>
      <c r="B17" s="4">
        <v>410000</v>
      </c>
    </row>
    <row r="18" spans="1:2" x14ac:dyDescent="0.3">
      <c r="A18" s="4" t="s">
        <v>318</v>
      </c>
      <c r="B18" s="4">
        <v>420000</v>
      </c>
    </row>
    <row r="19" spans="1:2" x14ac:dyDescent="0.3">
      <c r="A19" s="4" t="s">
        <v>319</v>
      </c>
      <c r="B19" s="4">
        <v>430000</v>
      </c>
    </row>
    <row r="20" spans="1:2" x14ac:dyDescent="0.3">
      <c r="A20" s="4" t="s">
        <v>320</v>
      </c>
      <c r="B20" s="4">
        <v>440000</v>
      </c>
    </row>
    <row r="21" spans="1:2" x14ac:dyDescent="0.3">
      <c r="A21" s="4" t="s">
        <v>321</v>
      </c>
      <c r="B21" s="4">
        <v>450000</v>
      </c>
    </row>
    <row r="22" spans="1:2" x14ac:dyDescent="0.3">
      <c r="A22" s="4" t="s">
        <v>322</v>
      </c>
      <c r="B22" s="4">
        <v>460000</v>
      </c>
    </row>
    <row r="23" spans="1:2" x14ac:dyDescent="0.3">
      <c r="A23" s="4" t="s">
        <v>323</v>
      </c>
      <c r="B23" s="4">
        <v>500000</v>
      </c>
    </row>
    <row r="24" spans="1:2" x14ac:dyDescent="0.3">
      <c r="A24" s="4" t="s">
        <v>324</v>
      </c>
      <c r="B24" s="4">
        <v>510000</v>
      </c>
    </row>
    <row r="25" spans="1:2" x14ac:dyDescent="0.3">
      <c r="A25" s="4" t="s">
        <v>325</v>
      </c>
      <c r="B25" s="4">
        <v>520000</v>
      </c>
    </row>
    <row r="26" spans="1:2" x14ac:dyDescent="0.3">
      <c r="A26" s="4" t="s">
        <v>326</v>
      </c>
      <c r="B26" s="4">
        <v>530000</v>
      </c>
    </row>
    <row r="27" spans="1:2" x14ac:dyDescent="0.3">
      <c r="A27" s="4" t="s">
        <v>327</v>
      </c>
      <c r="B27" s="4">
        <v>610000</v>
      </c>
    </row>
    <row r="28" spans="1:2" x14ac:dyDescent="0.3">
      <c r="A28" s="4" t="s">
        <v>328</v>
      </c>
      <c r="B28" s="4">
        <v>620000</v>
      </c>
    </row>
    <row r="29" spans="1:2" x14ac:dyDescent="0.3">
      <c r="A29" s="4" t="s">
        <v>329</v>
      </c>
      <c r="B29" s="4">
        <v>630000</v>
      </c>
    </row>
    <row r="30" spans="1:2" x14ac:dyDescent="0.3">
      <c r="A30" s="4" t="s">
        <v>330</v>
      </c>
      <c r="B30" s="4">
        <v>640000</v>
      </c>
    </row>
    <row r="31" spans="1:2" x14ac:dyDescent="0.3">
      <c r="A31" s="4" t="s">
        <v>331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85" zoomScaleNormal="85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302</v>
      </c>
      <c r="B2" s="3" t="s">
        <v>11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0.55" customHeight="1" x14ac:dyDescent="0.3">
      <c r="A3" s="2" t="s">
        <v>303</v>
      </c>
      <c r="B3" s="3" t="s">
        <v>20</v>
      </c>
      <c r="C3" s="3" t="s">
        <v>16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t="20.55" customHeight="1" x14ac:dyDescent="0.3">
      <c r="A4" s="2" t="s">
        <v>304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</row>
    <row r="5" spans="1:11" ht="20.55" customHeight="1" x14ac:dyDescent="0.3">
      <c r="A5" s="2" t="s">
        <v>305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</row>
    <row r="6" spans="1:11" ht="20.55" customHeight="1" x14ac:dyDescent="0.3">
      <c r="A6" s="2" t="s">
        <v>306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</row>
    <row r="7" spans="1:11" ht="20.55" customHeight="1" x14ac:dyDescent="0.3">
      <c r="A7" s="2" t="s">
        <v>307</v>
      </c>
      <c r="B7" s="3" t="s">
        <v>59</v>
      </c>
      <c r="C7" s="3" t="s">
        <v>60</v>
      </c>
      <c r="D7" s="3" t="s">
        <v>61</v>
      </c>
      <c r="E7" s="3" t="s">
        <v>62</v>
      </c>
      <c r="F7" s="3" t="s">
        <v>63</v>
      </c>
      <c r="G7" s="3" t="s">
        <v>64</v>
      </c>
      <c r="H7" s="3" t="s">
        <v>65</v>
      </c>
      <c r="I7" s="3" t="s">
        <v>66</v>
      </c>
      <c r="J7" s="3" t="s">
        <v>67</v>
      </c>
      <c r="K7" s="3" t="s">
        <v>68</v>
      </c>
    </row>
    <row r="8" spans="1:11" ht="20.55" customHeight="1" x14ac:dyDescent="0.3">
      <c r="A8" s="2" t="s">
        <v>308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</row>
    <row r="9" spans="1:11" ht="20.55" customHeight="1" x14ac:dyDescent="0.3">
      <c r="A9" s="2" t="s">
        <v>309</v>
      </c>
      <c r="B9" s="3" t="s">
        <v>79</v>
      </c>
      <c r="C9" s="3" t="s">
        <v>80</v>
      </c>
      <c r="D9" s="3" t="s">
        <v>81</v>
      </c>
      <c r="E9" s="3" t="s">
        <v>82</v>
      </c>
      <c r="F9" s="3" t="s">
        <v>83</v>
      </c>
      <c r="G9" s="3" t="s">
        <v>84</v>
      </c>
      <c r="H9" s="3" t="s">
        <v>85</v>
      </c>
      <c r="I9" s="3" t="s">
        <v>86</v>
      </c>
      <c r="J9" s="3" t="s">
        <v>87</v>
      </c>
      <c r="K9" s="3" t="s">
        <v>88</v>
      </c>
    </row>
    <row r="10" spans="1:11" ht="20.55" customHeight="1" x14ac:dyDescent="0.3">
      <c r="A10" s="2" t="s">
        <v>310</v>
      </c>
      <c r="B10" s="3" t="s">
        <v>89</v>
      </c>
      <c r="C10" s="3" t="s">
        <v>90</v>
      </c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97</v>
      </c>
      <c r="K10" s="3" t="s">
        <v>98</v>
      </c>
    </row>
    <row r="11" spans="1:11" ht="20.55" customHeight="1" x14ac:dyDescent="0.3">
      <c r="A11" s="2" t="s">
        <v>311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3" t="s">
        <v>104</v>
      </c>
      <c r="H11" s="3" t="s">
        <v>105</v>
      </c>
      <c r="I11" s="3" t="s">
        <v>106</v>
      </c>
      <c r="J11" s="3" t="s">
        <v>107</v>
      </c>
      <c r="K11" s="3" t="s">
        <v>108</v>
      </c>
    </row>
    <row r="12" spans="1:11" ht="20.55" customHeight="1" x14ac:dyDescent="0.3">
      <c r="A12" s="2" t="s">
        <v>312</v>
      </c>
      <c r="B12" s="3" t="s">
        <v>109</v>
      </c>
      <c r="C12" s="3" t="s">
        <v>110</v>
      </c>
      <c r="D12" s="3" t="s">
        <v>111</v>
      </c>
      <c r="E12" s="3" t="s">
        <v>112</v>
      </c>
      <c r="F12" s="3" t="s">
        <v>113</v>
      </c>
      <c r="G12" s="3" t="s">
        <v>114</v>
      </c>
      <c r="H12" s="3" t="s">
        <v>115</v>
      </c>
      <c r="I12" s="3" t="s">
        <v>116</v>
      </c>
      <c r="J12" s="3" t="s">
        <v>117</v>
      </c>
      <c r="K12" s="3" t="s">
        <v>118</v>
      </c>
    </row>
    <row r="13" spans="1:11" ht="20.55" customHeight="1" x14ac:dyDescent="0.3">
      <c r="A13" s="2" t="s">
        <v>313</v>
      </c>
      <c r="B13" s="3" t="s">
        <v>119</v>
      </c>
      <c r="C13" s="3" t="s">
        <v>120</v>
      </c>
      <c r="D13" s="3" t="s">
        <v>121</v>
      </c>
      <c r="E13" s="3" t="s">
        <v>122</v>
      </c>
      <c r="F13" s="3" t="s">
        <v>123</v>
      </c>
      <c r="G13" s="3" t="s">
        <v>124</v>
      </c>
      <c r="H13" s="3" t="s">
        <v>125</v>
      </c>
      <c r="I13" s="3" t="s">
        <v>126</v>
      </c>
      <c r="J13" s="3" t="s">
        <v>127</v>
      </c>
      <c r="K13" s="3" t="s">
        <v>128</v>
      </c>
    </row>
    <row r="14" spans="1:11" ht="20.55" customHeight="1" x14ac:dyDescent="0.3">
      <c r="A14" s="2" t="s">
        <v>314</v>
      </c>
      <c r="B14" s="3" t="s">
        <v>129</v>
      </c>
      <c r="C14" s="3" t="s">
        <v>130</v>
      </c>
      <c r="D14" s="3" t="s">
        <v>131</v>
      </c>
      <c r="E14" s="3" t="s">
        <v>132</v>
      </c>
      <c r="F14" s="3" t="s">
        <v>133</v>
      </c>
      <c r="G14" s="3" t="s">
        <v>134</v>
      </c>
      <c r="H14" s="3" t="s">
        <v>135</v>
      </c>
      <c r="I14" s="3" t="s">
        <v>136</v>
      </c>
      <c r="J14" s="3" t="s">
        <v>137</v>
      </c>
      <c r="K14" s="3" t="s">
        <v>138</v>
      </c>
    </row>
    <row r="15" spans="1:11" ht="20.55" customHeight="1" x14ac:dyDescent="0.3">
      <c r="A15" s="2" t="s">
        <v>315</v>
      </c>
      <c r="B15" s="3" t="s">
        <v>139</v>
      </c>
      <c r="C15" s="3" t="s">
        <v>140</v>
      </c>
      <c r="D15" s="3" t="s">
        <v>141</v>
      </c>
      <c r="E15" s="3" t="s">
        <v>142</v>
      </c>
      <c r="F15" s="3" t="s">
        <v>143</v>
      </c>
      <c r="G15" s="3" t="s">
        <v>144</v>
      </c>
      <c r="H15" s="3" t="s">
        <v>145</v>
      </c>
      <c r="I15" s="3" t="s">
        <v>146</v>
      </c>
      <c r="J15" s="3" t="s">
        <v>147</v>
      </c>
      <c r="K15" s="3" t="s">
        <v>148</v>
      </c>
    </row>
    <row r="16" spans="1:11" ht="20.55" customHeight="1" x14ac:dyDescent="0.3">
      <c r="A16" s="2" t="s">
        <v>316</v>
      </c>
      <c r="B16" s="3" t="s">
        <v>149</v>
      </c>
      <c r="C16" s="3" t="s">
        <v>150</v>
      </c>
      <c r="D16" s="3" t="s">
        <v>151</v>
      </c>
      <c r="E16" s="3" t="s">
        <v>152</v>
      </c>
      <c r="F16" s="3" t="s">
        <v>153</v>
      </c>
      <c r="G16" s="3" t="s">
        <v>154</v>
      </c>
      <c r="H16" s="3" t="s">
        <v>155</v>
      </c>
      <c r="I16" s="3" t="s">
        <v>156</v>
      </c>
      <c r="J16" s="3" t="s">
        <v>157</v>
      </c>
      <c r="K16" s="3" t="s">
        <v>158</v>
      </c>
    </row>
    <row r="17" spans="1:11" ht="20.55" customHeight="1" x14ac:dyDescent="0.3">
      <c r="A17" s="2" t="s">
        <v>317</v>
      </c>
      <c r="B17" s="3" t="s">
        <v>159</v>
      </c>
      <c r="C17" s="3" t="s">
        <v>160</v>
      </c>
      <c r="D17" s="3" t="s">
        <v>130</v>
      </c>
      <c r="E17" s="3" t="s">
        <v>161</v>
      </c>
      <c r="F17" s="3" t="s">
        <v>162</v>
      </c>
      <c r="G17" s="3" t="s">
        <v>75</v>
      </c>
      <c r="H17" s="3" t="s">
        <v>163</v>
      </c>
      <c r="I17" s="3" t="s">
        <v>164</v>
      </c>
      <c r="J17" s="3" t="s">
        <v>165</v>
      </c>
      <c r="K17" s="3" t="s">
        <v>166</v>
      </c>
    </row>
    <row r="18" spans="1:11" ht="20.55" customHeight="1" x14ac:dyDescent="0.3">
      <c r="A18" s="2" t="s">
        <v>318</v>
      </c>
      <c r="B18" s="3" t="s">
        <v>19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171</v>
      </c>
      <c r="H18" s="3" t="s">
        <v>172</v>
      </c>
      <c r="I18" s="3" t="s">
        <v>173</v>
      </c>
      <c r="J18" s="3" t="s">
        <v>174</v>
      </c>
      <c r="K18" s="3" t="s">
        <v>175</v>
      </c>
    </row>
    <row r="19" spans="1:11" ht="20.55" customHeight="1" x14ac:dyDescent="0.3">
      <c r="A19" s="2" t="s">
        <v>319</v>
      </c>
      <c r="B19" s="3" t="s">
        <v>176</v>
      </c>
      <c r="C19" s="3" t="s">
        <v>177</v>
      </c>
      <c r="D19" s="3" t="s">
        <v>178</v>
      </c>
      <c r="E19" s="3" t="s">
        <v>179</v>
      </c>
      <c r="F19" s="3" t="s">
        <v>180</v>
      </c>
      <c r="G19" s="3" t="s">
        <v>181</v>
      </c>
      <c r="H19" s="3" t="s">
        <v>182</v>
      </c>
      <c r="I19" s="3" t="s">
        <v>183</v>
      </c>
      <c r="J19" s="3" t="s">
        <v>184</v>
      </c>
      <c r="K19" s="3" t="s">
        <v>185</v>
      </c>
    </row>
    <row r="20" spans="1:11" ht="20.55" customHeight="1" x14ac:dyDescent="0.3">
      <c r="A20" s="2" t="s">
        <v>320</v>
      </c>
      <c r="B20" s="3" t="s">
        <v>186</v>
      </c>
      <c r="C20" s="3" t="s">
        <v>187</v>
      </c>
      <c r="D20" s="3" t="s">
        <v>188</v>
      </c>
      <c r="E20" s="3" t="s">
        <v>189</v>
      </c>
      <c r="F20" s="3" t="s">
        <v>190</v>
      </c>
      <c r="G20" s="3" t="s">
        <v>123</v>
      </c>
      <c r="H20" s="3" t="s">
        <v>191</v>
      </c>
      <c r="I20" s="3" t="s">
        <v>192</v>
      </c>
      <c r="J20" s="3" t="s">
        <v>193</v>
      </c>
      <c r="K20" s="3" t="s">
        <v>194</v>
      </c>
    </row>
    <row r="21" spans="1:11" ht="20.55" customHeight="1" x14ac:dyDescent="0.3">
      <c r="A21" s="2" t="s">
        <v>321</v>
      </c>
      <c r="B21" s="3" t="s">
        <v>195</v>
      </c>
      <c r="C21" s="3" t="s">
        <v>196</v>
      </c>
      <c r="D21" s="3" t="s">
        <v>197</v>
      </c>
      <c r="E21" s="3" t="s">
        <v>198</v>
      </c>
      <c r="F21" s="3" t="s">
        <v>199</v>
      </c>
      <c r="G21" s="3" t="s">
        <v>200</v>
      </c>
      <c r="H21" s="3" t="s">
        <v>201</v>
      </c>
      <c r="I21" s="3" t="s">
        <v>202</v>
      </c>
      <c r="J21" s="3" t="s">
        <v>203</v>
      </c>
      <c r="K21" s="3" t="s">
        <v>204</v>
      </c>
    </row>
    <row r="22" spans="1:11" ht="20.55" customHeight="1" x14ac:dyDescent="0.3">
      <c r="A22" s="2" t="s">
        <v>322</v>
      </c>
      <c r="B22" s="3" t="s">
        <v>205</v>
      </c>
      <c r="C22" s="3" t="s">
        <v>206</v>
      </c>
      <c r="D22" s="3" t="s">
        <v>207</v>
      </c>
      <c r="E22" s="3" t="s">
        <v>208</v>
      </c>
      <c r="F22" s="3" t="s">
        <v>209</v>
      </c>
      <c r="G22" s="3" t="s">
        <v>210</v>
      </c>
      <c r="H22" s="3" t="s">
        <v>211</v>
      </c>
      <c r="I22" s="3" t="s">
        <v>212</v>
      </c>
      <c r="J22" s="3" t="s">
        <v>213</v>
      </c>
      <c r="K22" s="3" t="s">
        <v>214</v>
      </c>
    </row>
    <row r="23" spans="1:11" ht="20.55" customHeight="1" x14ac:dyDescent="0.3">
      <c r="A23" s="2" t="s">
        <v>323</v>
      </c>
      <c r="B23" s="3" t="s">
        <v>215</v>
      </c>
      <c r="C23" s="3" t="s">
        <v>216</v>
      </c>
      <c r="D23" s="3" t="s">
        <v>217</v>
      </c>
      <c r="E23" s="3" t="s">
        <v>218</v>
      </c>
      <c r="F23" s="3" t="s">
        <v>219</v>
      </c>
      <c r="G23" s="3" t="s">
        <v>220</v>
      </c>
      <c r="H23" s="3" t="s">
        <v>221</v>
      </c>
      <c r="I23" s="3" t="s">
        <v>222</v>
      </c>
      <c r="J23" s="3" t="s">
        <v>223</v>
      </c>
      <c r="K23" s="3" t="s">
        <v>224</v>
      </c>
    </row>
    <row r="24" spans="1:11" ht="20.55" customHeight="1" x14ac:dyDescent="0.3">
      <c r="A24" s="2" t="s">
        <v>324</v>
      </c>
      <c r="B24" s="3" t="s">
        <v>225</v>
      </c>
      <c r="C24" s="3" t="s">
        <v>226</v>
      </c>
      <c r="D24" s="3" t="s">
        <v>227</v>
      </c>
      <c r="E24" s="3" t="s">
        <v>228</v>
      </c>
      <c r="F24" s="3" t="s">
        <v>229</v>
      </c>
      <c r="G24" s="3" t="s">
        <v>230</v>
      </c>
      <c r="H24" s="3" t="s">
        <v>231</v>
      </c>
      <c r="I24" s="3" t="s">
        <v>232</v>
      </c>
      <c r="J24" s="3" t="s">
        <v>233</v>
      </c>
      <c r="K24" s="3" t="s">
        <v>234</v>
      </c>
    </row>
    <row r="25" spans="1:11" ht="20.55" customHeight="1" x14ac:dyDescent="0.3">
      <c r="A25" s="2" t="s">
        <v>325</v>
      </c>
      <c r="B25" s="3" t="s">
        <v>235</v>
      </c>
      <c r="C25" s="3" t="s">
        <v>236</v>
      </c>
      <c r="D25" s="3" t="s">
        <v>237</v>
      </c>
      <c r="E25" s="3" t="s">
        <v>238</v>
      </c>
      <c r="F25" s="3" t="s">
        <v>239</v>
      </c>
      <c r="G25" s="3" t="s">
        <v>240</v>
      </c>
      <c r="H25" s="3" t="s">
        <v>241</v>
      </c>
      <c r="I25" s="3" t="s">
        <v>242</v>
      </c>
      <c r="J25" s="3" t="s">
        <v>243</v>
      </c>
      <c r="K25" s="3" t="s">
        <v>244</v>
      </c>
    </row>
    <row r="26" spans="1:11" ht="20.55" customHeight="1" x14ac:dyDescent="0.3">
      <c r="A26" s="2" t="s">
        <v>326</v>
      </c>
      <c r="B26" s="3" t="s">
        <v>191</v>
      </c>
      <c r="C26" s="3" t="s">
        <v>245</v>
      </c>
      <c r="D26" s="3" t="s">
        <v>246</v>
      </c>
      <c r="E26" s="3" t="s">
        <v>247</v>
      </c>
      <c r="F26" s="3" t="s">
        <v>248</v>
      </c>
      <c r="G26" s="3" t="s">
        <v>249</v>
      </c>
      <c r="H26" s="3" t="s">
        <v>250</v>
      </c>
      <c r="I26" s="3" t="s">
        <v>251</v>
      </c>
      <c r="J26" s="3" t="s">
        <v>252</v>
      </c>
      <c r="K26" s="3" t="s">
        <v>253</v>
      </c>
    </row>
    <row r="27" spans="1:11" ht="20.55" customHeight="1" x14ac:dyDescent="0.3">
      <c r="A27" s="2" t="s">
        <v>327</v>
      </c>
      <c r="B27" s="3" t="s">
        <v>254</v>
      </c>
      <c r="C27" s="3" t="s">
        <v>255</v>
      </c>
      <c r="D27" s="3" t="s">
        <v>256</v>
      </c>
      <c r="E27" s="3" t="s">
        <v>257</v>
      </c>
      <c r="F27" s="3" t="s">
        <v>258</v>
      </c>
      <c r="G27" s="3" t="s">
        <v>259</v>
      </c>
      <c r="H27" s="3" t="s">
        <v>260</v>
      </c>
      <c r="I27" s="3" t="s">
        <v>261</v>
      </c>
      <c r="J27" s="3" t="s">
        <v>262</v>
      </c>
      <c r="K27" s="3" t="s">
        <v>263</v>
      </c>
    </row>
    <row r="28" spans="1:11" ht="20.55" customHeight="1" x14ac:dyDescent="0.3">
      <c r="A28" s="2" t="s">
        <v>328</v>
      </c>
      <c r="B28" s="3" t="s">
        <v>264</v>
      </c>
      <c r="C28" s="3" t="s">
        <v>265</v>
      </c>
      <c r="D28" s="3" t="s">
        <v>266</v>
      </c>
      <c r="E28" s="3" t="s">
        <v>267</v>
      </c>
      <c r="F28" s="3" t="s">
        <v>268</v>
      </c>
      <c r="G28" s="3" t="s">
        <v>269</v>
      </c>
      <c r="H28" s="3" t="s">
        <v>270</v>
      </c>
      <c r="I28" s="3" t="s">
        <v>271</v>
      </c>
      <c r="J28" s="3" t="s">
        <v>272</v>
      </c>
      <c r="K28" s="3" t="s">
        <v>273</v>
      </c>
    </row>
    <row r="29" spans="1:11" ht="20.55" customHeight="1" x14ac:dyDescent="0.3">
      <c r="A29" s="2" t="s">
        <v>329</v>
      </c>
      <c r="B29" s="3" t="s">
        <v>275</v>
      </c>
      <c r="C29" s="3" t="s">
        <v>276</v>
      </c>
      <c r="D29" s="3" t="s">
        <v>274</v>
      </c>
      <c r="E29" s="3" t="s">
        <v>277</v>
      </c>
      <c r="F29" s="3" t="s">
        <v>278</v>
      </c>
      <c r="G29" s="3" t="s">
        <v>279</v>
      </c>
      <c r="H29" s="3" t="s">
        <v>280</v>
      </c>
      <c r="I29" s="3" t="s">
        <v>281</v>
      </c>
      <c r="J29" s="3" t="s">
        <v>282</v>
      </c>
      <c r="K29" s="3" t="s">
        <v>283</v>
      </c>
    </row>
    <row r="30" spans="1:11" ht="20.55" customHeight="1" x14ac:dyDescent="0.3">
      <c r="A30" s="2" t="s">
        <v>330</v>
      </c>
      <c r="B30" s="3" t="s">
        <v>284</v>
      </c>
      <c r="C30" s="3" t="s">
        <v>285</v>
      </c>
      <c r="D30" s="3" t="s">
        <v>286</v>
      </c>
      <c r="E30" s="3" t="s">
        <v>287</v>
      </c>
      <c r="F30" s="3" t="s">
        <v>288</v>
      </c>
      <c r="G30" s="3" t="s">
        <v>289</v>
      </c>
      <c r="H30" s="3" t="s">
        <v>290</v>
      </c>
      <c r="I30" s="3" t="s">
        <v>291</v>
      </c>
      <c r="J30" s="3" t="s">
        <v>292</v>
      </c>
      <c r="K30" s="3" t="s">
        <v>293</v>
      </c>
    </row>
    <row r="31" spans="1:11" ht="20.55" customHeight="1" x14ac:dyDescent="0.3">
      <c r="A31" s="2" t="s">
        <v>331</v>
      </c>
      <c r="B31" s="3" t="s">
        <v>294</v>
      </c>
      <c r="C31" s="3" t="s">
        <v>295</v>
      </c>
      <c r="D31" s="3" t="s">
        <v>116</v>
      </c>
      <c r="E31" s="3" t="s">
        <v>296</v>
      </c>
      <c r="F31" s="3" t="s">
        <v>297</v>
      </c>
      <c r="G31" s="3" t="s">
        <v>298</v>
      </c>
      <c r="H31" s="3" t="s">
        <v>299</v>
      </c>
      <c r="I31" s="3" t="s">
        <v>300</v>
      </c>
      <c r="J31" s="3" t="s">
        <v>301</v>
      </c>
      <c r="K31" s="3" t="s">
        <v>243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EAC716-1DCB-46BB-A6B5-B7D491B62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2026-04-12T12:51:10Z</dcterms:created>
  <dcterms:modified xsi:type="dcterms:W3CDTF">2026-04-14T11:28:08Z</dcterms:modified>
  <cp:category/>
</cp:coreProperties>
</file>
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9158b2ce9c3b8d0/文档/GitHub/tjjmlinxieli/处理数据/excel/通用数据/"/>
    </mc:Choice>
  </mc:AlternateContent>
  <xr:revisionPtr revIDLastSave="19" documentId="11_CBFA7AF74974399225457C6A4121EC15BE14E766" xr6:coauthVersionLast="47" xr6:coauthVersionMax="47" xr10:uidLastSave="{6D010E89-7163-4A78-A547-56530D78974C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5C10D-40FF-4F9D-B5F6-9EB844FB2B15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<sst xmlns="http://schemas.openxmlformats.org/spreadsheetml/2006/main" count="948" uniqueCount="318">
  <si>
    <t>北京</t>
  </si>
  <si>
    <t>143</t>
  </si>
  <si>
    <t>114</t>
  </si>
  <si>
    <t>193</t>
  </si>
  <si>
    <t>427</t>
  </si>
  <si>
    <t>463</t>
  </si>
  <si>
    <t>499</t>
  </si>
  <si>
    <t>465</t>
  </si>
  <si>
    <t>592</t>
  </si>
  <si>
    <t>895</t>
  </si>
  <si>
    <t>天津</t>
  </si>
  <si>
    <t>1936</t>
  </si>
  <si>
    <t>1921</t>
  </si>
  <si>
    <t>1731</t>
  </si>
  <si>
    <t>1939</t>
  </si>
  <si>
    <t>1849</t>
  </si>
  <si>
    <t>1553</t>
  </si>
  <si>
    <t>1544</t>
  </si>
  <si>
    <t>1524</t>
  </si>
  <si>
    <t>1724</t>
  </si>
  <si>
    <t>河北</t>
  </si>
  <si>
    <t>20457</t>
  </si>
  <si>
    <t>22320</t>
  </si>
  <si>
    <t>18880</t>
  </si>
  <si>
    <t>17661</t>
  </si>
  <si>
    <t>17631</t>
  </si>
  <si>
    <t>17690</t>
  </si>
  <si>
    <t>17776</t>
  </si>
  <si>
    <t>19900</t>
  </si>
  <si>
    <t>18228</t>
  </si>
  <si>
    <t>山西</t>
  </si>
  <si>
    <t>18743</t>
  </si>
  <si>
    <t>18585</t>
  </si>
  <si>
    <t>17150</t>
  </si>
  <si>
    <t>18440</t>
  </si>
  <si>
    <t>16941</t>
  </si>
  <si>
    <t>16276</t>
  </si>
  <si>
    <t>17654</t>
  </si>
  <si>
    <t>17617</t>
  </si>
  <si>
    <t>19681</t>
  </si>
  <si>
    <t>内蒙古</t>
  </si>
  <si>
    <t>16753</t>
  </si>
  <si>
    <t>13814</t>
  </si>
  <si>
    <t>12377</t>
  </si>
  <si>
    <t>11469</t>
  </si>
  <si>
    <t>9311</t>
  </si>
  <si>
    <t>9357</t>
  </si>
  <si>
    <t>10461</t>
  </si>
  <si>
    <t>12306</t>
  </si>
  <si>
    <t>13260</t>
  </si>
  <si>
    <t>辽宁</t>
  </si>
  <si>
    <t>12177</t>
  </si>
  <si>
    <t>13139</t>
  </si>
  <si>
    <t>11478</t>
  </si>
  <si>
    <t>10527</t>
  </si>
  <si>
    <t>10793</t>
  </si>
  <si>
    <t>10531</t>
  </si>
  <si>
    <t>9514</t>
  </si>
  <si>
    <t>10029</t>
  </si>
  <si>
    <t>10719</t>
  </si>
  <si>
    <t>吉林</t>
  </si>
  <si>
    <t>2609</t>
  </si>
  <si>
    <t>2639</t>
  </si>
  <si>
    <t>2407</t>
  </si>
  <si>
    <t>2885</t>
  </si>
  <si>
    <t>2661</t>
  </si>
  <si>
    <t>2691</t>
  </si>
  <si>
    <t>2957</t>
  </si>
  <si>
    <t>2986</t>
  </si>
  <si>
    <t>3478</t>
  </si>
  <si>
    <t>黑龙江</t>
  </si>
  <si>
    <t>4110</t>
  </si>
  <si>
    <t>3609</t>
  </si>
  <si>
    <t>3166</t>
  </si>
  <si>
    <t>4560</t>
  </si>
  <si>
    <t>5152</t>
  </si>
  <si>
    <t>3883</t>
  </si>
  <si>
    <t>4879</t>
  </si>
  <si>
    <t>4308</t>
  </si>
  <si>
    <t>4069</t>
  </si>
  <si>
    <t>上海</t>
  </si>
  <si>
    <t>1961</t>
  </si>
  <si>
    <t>1947</t>
  </si>
  <si>
    <t>1702</t>
  </si>
  <si>
    <t>1676</t>
  </si>
  <si>
    <t>1623</t>
  </si>
  <si>
    <t>1681</t>
  </si>
  <si>
    <t>1719</t>
  </si>
  <si>
    <t>1796</t>
  </si>
  <si>
    <t>1877</t>
  </si>
  <si>
    <t>江苏</t>
  </si>
  <si>
    <t>12364</t>
  </si>
  <si>
    <t>12350</t>
  </si>
  <si>
    <t>10866</t>
  </si>
  <si>
    <t>11822</t>
  </si>
  <si>
    <t>11834</t>
  </si>
  <si>
    <t>12314</t>
  </si>
  <si>
    <t>11610</t>
  </si>
  <si>
    <t>10207</t>
  </si>
  <si>
    <t>10578</t>
  </si>
  <si>
    <t>浙江</t>
  </si>
  <si>
    <t>5494</t>
  </si>
  <si>
    <t>5336</t>
  </si>
  <si>
    <t>4546</t>
  </si>
  <si>
    <t>5355</t>
  </si>
  <si>
    <t>5188</t>
  </si>
  <si>
    <t>5034</t>
  </si>
  <si>
    <t>4886</t>
  </si>
  <si>
    <t>4263</t>
  </si>
  <si>
    <t>4303</t>
  </si>
  <si>
    <t>安徽</t>
  </si>
  <si>
    <t>14159</t>
  </si>
  <si>
    <t>13594</t>
  </si>
  <si>
    <t>12026</t>
  </si>
  <si>
    <t>13230</t>
  </si>
  <si>
    <t>13271</t>
  </si>
  <si>
    <t>12581</t>
  </si>
  <si>
    <t>11872</t>
  </si>
  <si>
    <t>11763</t>
  </si>
  <si>
    <t>10466</t>
  </si>
  <si>
    <t>福建</t>
  </si>
  <si>
    <t>5671</t>
  </si>
  <si>
    <t>5588</t>
  </si>
  <si>
    <t>4016</t>
  </si>
  <si>
    <t>6380</t>
  </si>
  <si>
    <t>6029</t>
  </si>
  <si>
    <t>5075</t>
  </si>
  <si>
    <t>5458</t>
  </si>
  <si>
    <t>3784</t>
  </si>
  <si>
    <t>4278</t>
  </si>
  <si>
    <t>江西</t>
  </si>
  <si>
    <t>6286</t>
  </si>
  <si>
    <t>5586</t>
  </si>
  <si>
    <t>5498</t>
  </si>
  <si>
    <t>6968</t>
  </si>
  <si>
    <t>6047</t>
  </si>
  <si>
    <t>5674</t>
  </si>
  <si>
    <t>5244</t>
  </si>
  <si>
    <t>6152</t>
  </si>
  <si>
    <t>6121</t>
  </si>
  <si>
    <t>山东</t>
  </si>
  <si>
    <t>20079</t>
  </si>
  <si>
    <t>20027</t>
  </si>
  <si>
    <t>19612</t>
  </si>
  <si>
    <t>25230</t>
  </si>
  <si>
    <t>23831</t>
  </si>
  <si>
    <t>23152</t>
  </si>
  <si>
    <t>22314</t>
  </si>
  <si>
    <t>18309</t>
  </si>
  <si>
    <t>18380</t>
  </si>
  <si>
    <t>河南</t>
  </si>
  <si>
    <t>14558</t>
  </si>
  <si>
    <t>13061</t>
  </si>
  <si>
    <t>11468</t>
  </si>
  <si>
    <t>11976</t>
  </si>
  <si>
    <t>11755</t>
  </si>
  <si>
    <t>10204</t>
  </si>
  <si>
    <t>10548</t>
  </si>
  <si>
    <t>11456</t>
  </si>
  <si>
    <t>12319</t>
  </si>
  <si>
    <t>湖北</t>
  </si>
  <si>
    <t>7847</t>
  </si>
  <si>
    <t>6843</t>
  </si>
  <si>
    <t>6178</t>
  </si>
  <si>
    <t>10060</t>
  </si>
  <si>
    <t>8437</t>
  </si>
  <si>
    <t>7336</t>
  </si>
  <si>
    <t>7429</t>
  </si>
  <si>
    <t>5253</t>
  </si>
  <si>
    <t>6139</t>
  </si>
  <si>
    <t>湖南</t>
  </si>
  <si>
    <t>3729</t>
  </si>
  <si>
    <t>3748</t>
  </si>
  <si>
    <t>3270</t>
  </si>
  <si>
    <t>5206</t>
  </si>
  <si>
    <t>4555</t>
  </si>
  <si>
    <t>4460</t>
  </si>
  <si>
    <t>4031</t>
  </si>
  <si>
    <t>4683</t>
  </si>
  <si>
    <t>4410</t>
  </si>
  <si>
    <t>广东</t>
  </si>
  <si>
    <t>7135</t>
  </si>
  <si>
    <t>6652</t>
  </si>
  <si>
    <t>5631</t>
  </si>
  <si>
    <t>7331</t>
  </si>
  <si>
    <t>7283</t>
  </si>
  <si>
    <t>6734</t>
  </si>
  <si>
    <t>6997</t>
  </si>
  <si>
    <t>5103</t>
  </si>
  <si>
    <t>4893</t>
  </si>
  <si>
    <t>广西</t>
  </si>
  <si>
    <t>5227</t>
  </si>
  <si>
    <t>4296</t>
  </si>
  <si>
    <t>4389</t>
  </si>
  <si>
    <t>5408</t>
  </si>
  <si>
    <t>4799</t>
  </si>
  <si>
    <t>4765</t>
  </si>
  <si>
    <t>4791</t>
  </si>
  <si>
    <t>4388</t>
  </si>
  <si>
    <t>5058</t>
  </si>
  <si>
    <t>海南</t>
  </si>
  <si>
    <t>517</t>
  </si>
  <si>
    <t>441</t>
  </si>
  <si>
    <t>484</t>
  </si>
  <si>
    <t>398</t>
  </si>
  <si>
    <t>269</t>
  </si>
  <si>
    <t>241</t>
  </si>
  <si>
    <t>225</t>
  </si>
  <si>
    <t>268</t>
  </si>
  <si>
    <t>274</t>
  </si>
  <si>
    <t>重庆</t>
  </si>
  <si>
    <t>1971</t>
  </si>
  <si>
    <t>1884</t>
  </si>
  <si>
    <t>1909</t>
  </si>
  <si>
    <t>1935</t>
  </si>
  <si>
    <t>1894</t>
  </si>
  <si>
    <t>1841</t>
  </si>
  <si>
    <t>1855</t>
  </si>
  <si>
    <t>2424</t>
  </si>
  <si>
    <t>2648</t>
  </si>
  <si>
    <t>四川</t>
  </si>
  <si>
    <t>6798</t>
  </si>
  <si>
    <t>6151</t>
  </si>
  <si>
    <t>5656</t>
  </si>
  <si>
    <t>7632</t>
  </si>
  <si>
    <t>6805</t>
  </si>
  <si>
    <t>5422</t>
  </si>
  <si>
    <t>5314</t>
  </si>
  <si>
    <t>5507</t>
  </si>
  <si>
    <t>6185</t>
  </si>
  <si>
    <t>贵州</t>
  </si>
  <si>
    <t>7569</t>
  </si>
  <si>
    <t>7828</t>
  </si>
  <si>
    <t>6610</t>
  </si>
  <si>
    <t>7078</t>
  </si>
  <si>
    <t>6808</t>
  </si>
  <si>
    <t>5276</t>
  </si>
  <si>
    <t>4731</t>
  </si>
  <si>
    <t>4289</t>
  </si>
  <si>
    <t>4313</t>
  </si>
  <si>
    <t>云南</t>
  </si>
  <si>
    <t>9292</t>
  </si>
  <si>
    <t>9196</t>
  </si>
  <si>
    <t>9060</t>
  </si>
  <si>
    <t>10694</t>
  </si>
  <si>
    <t>8732</t>
  </si>
  <si>
    <t>7040</t>
  </si>
  <si>
    <t>8499</t>
  </si>
  <si>
    <t>7198</t>
  </si>
  <si>
    <t>7216</t>
  </si>
  <si>
    <t>陕西</t>
  </si>
  <si>
    <t>7206</t>
  </si>
  <si>
    <t>6463</t>
  </si>
  <si>
    <t>6443</t>
  </si>
  <si>
    <t>5411</t>
  </si>
  <si>
    <t>4702</t>
  </si>
  <si>
    <t>4861</t>
  </si>
  <si>
    <t>6773</t>
  </si>
  <si>
    <t>6102</t>
  </si>
  <si>
    <t>5464</t>
  </si>
  <si>
    <t>甘肃</t>
  </si>
  <si>
    <t>3077</t>
  </si>
  <si>
    <t>2990</t>
  </si>
  <si>
    <t>2804</t>
  </si>
  <si>
    <t>2550</t>
  </si>
  <si>
    <t>2215</t>
  </si>
  <si>
    <t>2583</t>
  </si>
  <si>
    <t>3092</t>
  </si>
  <si>
    <t>3079</t>
  </si>
  <si>
    <t>3086</t>
  </si>
  <si>
    <t>青海</t>
  </si>
  <si>
    <t>9387</t>
  </si>
  <si>
    <t>8379</t>
  </si>
  <si>
    <t>6892</t>
  </si>
  <si>
    <t>8685</t>
  </si>
  <si>
    <t>7970</t>
  </si>
  <si>
    <t>9537</t>
  </si>
  <si>
    <t>10316</t>
  </si>
  <si>
    <t>7247</t>
  </si>
  <si>
    <t>6999</t>
  </si>
  <si>
    <t>宁夏</t>
  </si>
  <si>
    <t>4598</t>
  </si>
  <si>
    <t>3555</t>
  </si>
  <si>
    <t>3117</t>
  </si>
  <si>
    <t>2552</t>
  </si>
  <si>
    <t>2225</t>
  </si>
  <si>
    <t>1970</t>
  </si>
  <si>
    <t>2122</t>
  </si>
  <si>
    <t>2131</t>
  </si>
  <si>
    <t>2928</t>
  </si>
  <si>
    <t>新疆</t>
  </si>
  <si>
    <t>4720</t>
  </si>
  <si>
    <t>4430</t>
  </si>
  <si>
    <t>4053</t>
  </si>
  <si>
    <t>6465</t>
  </si>
  <si>
    <t>5699</t>
  </si>
  <si>
    <t>5841</t>
  </si>
  <si>
    <t>5898</t>
  </si>
  <si>
    <t>4133</t>
  </si>
  <si>
    <t>4334</t>
  </si>
  <si>
    <t>列1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</si>
  <si>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</si>
  <si>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</si>
  <si>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</si>
  <si>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</si>
  <si>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</si>
  <si>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</si>
  <si>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</si>
  <si>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</si>
  <si>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</si>
  <si>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</si>
  <si>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省份</t>
  </si>
  <si>
    <t>行政区划代码</t>
  </si>
  <si>
    <t>行政区域</t>
    <phoneticPr fontId="5" type="noConversion"/>
  </si>
  <si>
    <t>id</t>
    <phoneticPr fontId="5" type="noConversion"/>
  </si>
  <si>
    <t>地区</t>
    <phoneticPr fontId="5" type="noConversion"/>
  </si>
  <si>
    <t>年份</t>
    <phoneticPr fontId="5" type="noConversion"/>
  </si>
  <si>
    <t>一般工业固体废物中和利用量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</si>
</sst>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name val="Times New Roman"/>
      <family val="1"/>
    </font>
    <font>
      <sz val="1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49" fontId="2" fillId="0" borderId="0" xfId="0" applyNumberFormat="1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 wrapText="1"/>
    </xf>
    <xf numFmtId="49" fontId="2" fillId="0" borderId="5" xfId="0" applyNumberFormat="1" applyFont="1" applyBorder="1" applyAlignment="1">
      <alignment horizontal="right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31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3D1D931-C7DF-4EDD-B77B-9C02206B033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列1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670C9F-5438-479A-85C8-EFE07EDEBEA4}" name="表1_" displayName="表1_" ref="A1:E301" tableType="queryTable" totalsRowShown="0">
  <autoFilter ref="A1:E301" xr:uid="{40670C9F-5438-479A-85C8-EFE07EDEBEA4}"/>
  <tableColumns count="5">
    <tableColumn id="1" xr3:uid="{85FF932A-98DC-4E28-B830-382A8CC65AF3}" uniqueName="1" name="地区" queryTableFieldId="1"/>
    <tableColumn id="2" xr3:uid="{5AD42554-81DF-467A-BCDE-D5AB737F1E05}" uniqueName="2" name="年份" queryTableFieldId="2"/>
    <tableColumn id="3" xr3:uid="{F41DDAB1-7B53-41BB-8799-101B43EBDED6}" uniqueName="3" name="一般工业固体废物中和利用量" queryTableFieldId="3"/>
    <tableColumn id="4" xr3:uid="{FA329771-9EE5-46C3-8E5C-B00C205408E9}" uniqueName="4" name="行政区域" queryTableFieldId="4" dataDxfId="1">
      <calculatedColumnFormula>VLOOKUP(表1_[[#This Row],[地区]],Sheet2!A:B,2,0)</calculatedColumnFormula>
    </tableColumn>
    <tableColumn id="5" xr3:uid="{B509041B-F5EF-4361-95F1-B07FE74F6D8C}" uniqueName="5" name="id" queryTableFieldId="5" dataDxfId="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B8408-957D-47F3-BF2F-E62781F9D603}" name="表1" displayName="表1" ref="A1:K31" totalsRowShown="0" dataDxfId="2">
  <autoFilter ref="A1:K31" xr:uid="{61DB8408-957D-47F3-BF2F-E62781F9D603}"/>
  <tableColumns count="11">
    <tableColumn id="1" xr3:uid="{1C571E02-37D4-4C34-81EA-601976AD7E1C}" name="列1" dataDxfId="13"/>
    <tableColumn id="2" xr3:uid="{4BC848BC-4148-4B05-89CA-F84BCB34B891}" name="2023" dataDxfId="12"/>
    <tableColumn id="3" xr3:uid="{A967009F-6BB0-48F1-BA3D-FC13C5C69B71}" name="2022" dataDxfId="11"/>
    <tableColumn id="4" xr3:uid="{AFA92E15-0394-4A3F-BC0F-568908101097}" name="2021" dataDxfId="10"/>
    <tableColumn id="5" xr3:uid="{D33E2D89-9F5A-4F35-9D37-6C5F598CF3E5}" name="2020" dataDxfId="9"/>
    <tableColumn id="6" xr3:uid="{D9E2359F-5C0C-4406-9434-348A2C70DB57}" name="2019" dataDxfId="8"/>
    <tableColumn id="7" xr3:uid="{41302EB2-90CA-4886-A70A-24956FEEFBED}" name="2018" dataDxfId="7"/>
    <tableColumn id="8" xr3:uid="{99EECFD3-F788-4C95-AFDF-44072FB7DD45}" name="2017" dataDxfId="6"/>
    <tableColumn id="9" xr3:uid="{01C854F1-2E05-4EE8-BC4D-884F63F48760}" name="2016" dataDxfId="5"/>
    <tableColumn id="10" xr3:uid="{64EC1C64-9F09-4B1B-9A10-9ECF5AF7A985}" name="2015" dataDxfId="4"/>
    <tableColumn id="11" xr3:uid="{CE01340D-9652-4D32-9BA9-AFBA5C47218A}" name="2014" dataDxfId="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8AF28-2552-49E3-8A47-905F88C3833C}">
  <dimension ref="A1:E301"/>
  <sheetViews>
    <sheetView tabSelected="1" workbookViewId="0">
      <selection activeCell="C2" sqref="C2"/>
    </sheetView>
  </sheetViews>
  <sheetFormatPr defaultRowHeight="13.5" x14ac:dyDescent="0.3"/>
  <cols>
    <col min="1" max="1" width="6.86328125" bestFit="1" customWidth="1"/>
    <col min="2" max="2" width="7.265625" bestFit="1" customWidth="1"/>
    <col min="3" max="3" width="6.06640625" bestFit="1" customWidth="1"/>
  </cols>
  <sheetData>
    <row r="1" spans="1:5" x14ac:dyDescent="0.3">
      <c r="A1" s="11" t="s">
        <v>315</v>
      </c>
      <c r="B1" s="11" t="s">
        <v>316</v>
      </c>
      <c r="C1" s="11" t="s">
        <v>317</v>
      </c>
      <c r="D1" s="11" t="s">
        <v>313</v>
      </c>
      <c r="E1" s="11" t="s">
        <v>314</v>
      </c>
    </row>
    <row r="2" spans="1:5" x14ac:dyDescent="0.3">
      <c r="A2" t="s">
        <v>0</v>
      </c>
      <c r="B2" t="s">
        <v>301</v>
      </c>
      <c r="C2">
        <v>174</v>
      </c>
      <c r="D2">
        <f>VLOOKUP(表1_[[#This Row],[地区]],Sheet2!A:B,2,0)</f>
        <v>110000</v>
      </c>
      <c r="E2">
        <f>表1_[[#This Row],[年份]]+表1_[[#This Row],[行政区域]]</f>
        <v>112023</v>
      </c>
    </row>
    <row r="3" spans="1:5" x14ac:dyDescent="0.3">
      <c r="A3" t="s">
        <v>0</v>
      </c>
      <c r="B3" t="s">
        <v>302</v>
      </c>
      <c r="C3">
        <v>143</v>
      </c>
      <c r="D3">
        <f>VLOOKUP(表1_[[#This Row],[地区]],Sheet2!A:B,2,0)</f>
        <v>110000</v>
      </c>
      <c r="E3">
        <f>表1_[[#This Row],[年份]]+表1_[[#This Row],[行政区域]]</f>
        <v>112022</v>
      </c>
    </row>
    <row r="4" spans="1:5" x14ac:dyDescent="0.3">
      <c r="A4" t="s">
        <v>0</v>
      </c>
      <c r="B4" t="s">
        <v>303</v>
      </c>
      <c r="C4">
        <v>114</v>
      </c>
      <c r="D4">
        <f>VLOOKUP(表1_[[#This Row],[地区]],Sheet2!A:B,2,0)</f>
        <v>110000</v>
      </c>
      <c r="E4">
        <f>表1_[[#This Row],[年份]]+表1_[[#This Row],[行政区域]]</f>
        <v>112021</v>
      </c>
    </row>
    <row r="5" spans="1:5" x14ac:dyDescent="0.3">
      <c r="A5" t="s">
        <v>0</v>
      </c>
      <c r="B5" t="s">
        <v>304</v>
      </c>
      <c r="C5">
        <v>193</v>
      </c>
      <c r="D5">
        <f>VLOOKUP(表1_[[#This Row],[地区]],Sheet2!A:B,2,0)</f>
        <v>110000</v>
      </c>
      <c r="E5">
        <f>表1_[[#This Row],[年份]]+表1_[[#This Row],[行政区域]]</f>
        <v>112020</v>
      </c>
    </row>
    <row r="6" spans="1:5" x14ac:dyDescent="0.3">
      <c r="A6" t="s">
        <v>0</v>
      </c>
      <c r="B6" t="s">
        <v>305</v>
      </c>
      <c r="C6">
        <v>427</v>
      </c>
      <c r="D6">
        <f>VLOOKUP(表1_[[#This Row],[地区]],Sheet2!A:B,2,0)</f>
        <v>110000</v>
      </c>
      <c r="E6">
        <f>表1_[[#This Row],[年份]]+表1_[[#This Row],[行政区域]]</f>
        <v>112019</v>
      </c>
    </row>
    <row r="7" spans="1:5" x14ac:dyDescent="0.3">
      <c r="A7" t="s">
        <v>0</v>
      </c>
      <c r="B7" t="s">
        <v>306</v>
      </c>
      <c r="C7">
        <v>463</v>
      </c>
      <c r="D7">
        <f>VLOOKUP(表1_[[#This Row],[地区]],Sheet2!A:B,2,0)</f>
        <v>110000</v>
      </c>
      <c r="E7">
        <f>表1_[[#This Row],[年份]]+表1_[[#This Row],[行政区域]]</f>
        <v>112018</v>
      </c>
    </row>
    <row r="8" spans="1:5" x14ac:dyDescent="0.3">
      <c r="A8" t="s">
        <v>0</v>
      </c>
      <c r="B8" t="s">
        <v>307</v>
      </c>
      <c r="C8">
        <v>499</v>
      </c>
      <c r="D8">
        <f>VLOOKUP(表1_[[#This Row],[地区]],Sheet2!A:B,2,0)</f>
        <v>110000</v>
      </c>
      <c r="E8">
        <f>表1_[[#This Row],[年份]]+表1_[[#This Row],[行政区域]]</f>
        <v>112017</v>
      </c>
    </row>
    <row r="9" spans="1:5" x14ac:dyDescent="0.3">
      <c r="A9" t="s">
        <v>0</v>
      </c>
      <c r="B9" t="s">
        <v>308</v>
      </c>
      <c r="C9">
        <v>465</v>
      </c>
      <c r="D9">
        <f>VLOOKUP(表1_[[#This Row],[地区]],Sheet2!A:B,2,0)</f>
        <v>110000</v>
      </c>
      <c r="E9">
        <f>表1_[[#This Row],[年份]]+表1_[[#This Row],[行政区域]]</f>
        <v>112016</v>
      </c>
    </row>
    <row r="10" spans="1:5" x14ac:dyDescent="0.3">
      <c r="A10" t="s">
        <v>0</v>
      </c>
      <c r="B10" t="s">
        <v>309</v>
      </c>
      <c r="C10">
        <v>592</v>
      </c>
      <c r="D10">
        <f>VLOOKUP(表1_[[#This Row],[地区]],Sheet2!A:B,2,0)</f>
        <v>110000</v>
      </c>
      <c r="E10">
        <f>表1_[[#This Row],[年份]]+表1_[[#This Row],[行政区域]]</f>
        <v>112015</v>
      </c>
    </row>
    <row r="11" spans="1:5" x14ac:dyDescent="0.3">
      <c r="A11" t="s">
        <v>0</v>
      </c>
      <c r="B11" t="s">
        <v>310</v>
      </c>
      <c r="C11">
        <v>895</v>
      </c>
      <c r="D11">
        <f>VLOOKUP(表1_[[#This Row],[地区]],Sheet2!A:B,2,0)</f>
        <v>110000</v>
      </c>
      <c r="E11">
        <f>表1_[[#This Row],[年份]]+表1_[[#This Row],[行政区域]]</f>
        <v>112014</v>
      </c>
    </row>
    <row r="12" spans="1:5" x14ac:dyDescent="0.3">
      <c r="A12" t="s">
        <v>10</v>
      </c>
      <c r="B12" t="s">
        <v>301</v>
      </c>
      <c r="C12">
        <v>2064</v>
      </c>
      <c r="D12">
        <f>VLOOKUP(表1_[[#This Row],[地区]],Sheet2!A:B,2,0)</f>
        <v>120000</v>
      </c>
      <c r="E12">
        <f>表1_[[#This Row],[年份]]+表1_[[#This Row],[行政区域]]</f>
        <v>122023</v>
      </c>
    </row>
    <row r="13" spans="1:5" x14ac:dyDescent="0.3">
      <c r="A13" t="s">
        <v>10</v>
      </c>
      <c r="B13" t="s">
        <v>302</v>
      </c>
      <c r="C13">
        <v>1936</v>
      </c>
      <c r="D13">
        <f>VLOOKUP(表1_[[#This Row],[地区]],Sheet2!A:B,2,0)</f>
        <v>120000</v>
      </c>
      <c r="E13">
        <f>表1_[[#This Row],[年份]]+表1_[[#This Row],[行政区域]]</f>
        <v>122022</v>
      </c>
    </row>
    <row r="14" spans="1:5" x14ac:dyDescent="0.3">
      <c r="A14" t="s">
        <v>10</v>
      </c>
      <c r="B14" t="s">
        <v>303</v>
      </c>
      <c r="C14">
        <v>1921</v>
      </c>
      <c r="D14">
        <f>VLOOKUP(表1_[[#This Row],[地区]],Sheet2!A:B,2,0)</f>
        <v>120000</v>
      </c>
      <c r="E14">
        <f>表1_[[#This Row],[年份]]+表1_[[#This Row],[行政区域]]</f>
        <v>122021</v>
      </c>
    </row>
    <row r="15" spans="1:5" x14ac:dyDescent="0.3">
      <c r="A15" t="s">
        <v>10</v>
      </c>
      <c r="B15" t="s">
        <v>304</v>
      </c>
      <c r="C15">
        <v>1731</v>
      </c>
      <c r="D15">
        <f>VLOOKUP(表1_[[#This Row],[地区]],Sheet2!A:B,2,0)</f>
        <v>120000</v>
      </c>
      <c r="E15">
        <f>表1_[[#This Row],[年份]]+表1_[[#This Row],[行政区域]]</f>
        <v>122020</v>
      </c>
    </row>
    <row r="16" spans="1:5" x14ac:dyDescent="0.3">
      <c r="A16" t="s">
        <v>10</v>
      </c>
      <c r="B16" t="s">
        <v>305</v>
      </c>
      <c r="C16">
        <v>1939</v>
      </c>
      <c r="D16">
        <f>VLOOKUP(表1_[[#This Row],[地区]],Sheet2!A:B,2,0)</f>
        <v>120000</v>
      </c>
      <c r="E16">
        <f>表1_[[#This Row],[年份]]+表1_[[#This Row],[行政区域]]</f>
        <v>122019</v>
      </c>
    </row>
    <row r="17" spans="1:5" x14ac:dyDescent="0.3">
      <c r="A17" t="s">
        <v>10</v>
      </c>
      <c r="B17" t="s">
        <v>306</v>
      </c>
      <c r="C17">
        <v>1849</v>
      </c>
      <c r="D17">
        <f>VLOOKUP(表1_[[#This Row],[地区]],Sheet2!A:B,2,0)</f>
        <v>120000</v>
      </c>
      <c r="E17">
        <f>表1_[[#This Row],[年份]]+表1_[[#This Row],[行政区域]]</f>
        <v>122018</v>
      </c>
    </row>
    <row r="18" spans="1:5" x14ac:dyDescent="0.3">
      <c r="A18" t="s">
        <v>10</v>
      </c>
      <c r="B18" t="s">
        <v>307</v>
      </c>
      <c r="C18">
        <v>1553</v>
      </c>
      <c r="D18">
        <f>VLOOKUP(表1_[[#This Row],[地区]],Sheet2!A:B,2,0)</f>
        <v>120000</v>
      </c>
      <c r="E18">
        <f>表1_[[#This Row],[年份]]+表1_[[#This Row],[行政区域]]</f>
        <v>122017</v>
      </c>
    </row>
    <row r="19" spans="1:5" x14ac:dyDescent="0.3">
      <c r="A19" t="s">
        <v>10</v>
      </c>
      <c r="B19" t="s">
        <v>308</v>
      </c>
      <c r="C19">
        <v>1544</v>
      </c>
      <c r="D19">
        <f>VLOOKUP(表1_[[#This Row],[地区]],Sheet2!A:B,2,0)</f>
        <v>120000</v>
      </c>
      <c r="E19">
        <f>表1_[[#This Row],[年份]]+表1_[[#This Row],[行政区域]]</f>
        <v>122016</v>
      </c>
    </row>
    <row r="20" spans="1:5" x14ac:dyDescent="0.3">
      <c r="A20" t="s">
        <v>10</v>
      </c>
      <c r="B20" t="s">
        <v>309</v>
      </c>
      <c r="C20">
        <v>1524</v>
      </c>
      <c r="D20">
        <f>VLOOKUP(表1_[[#This Row],[地区]],Sheet2!A:B,2,0)</f>
        <v>120000</v>
      </c>
      <c r="E20">
        <f>表1_[[#This Row],[年份]]+表1_[[#This Row],[行政区域]]</f>
        <v>122015</v>
      </c>
    </row>
    <row r="21" spans="1:5" x14ac:dyDescent="0.3">
      <c r="A21" t="s">
        <v>10</v>
      </c>
      <c r="B21" t="s">
        <v>310</v>
      </c>
      <c r="C21">
        <v>1724</v>
      </c>
      <c r="D21">
        <f>VLOOKUP(表1_[[#This Row],[地区]],Sheet2!A:B,2,0)</f>
        <v>120000</v>
      </c>
      <c r="E21">
        <f>表1_[[#This Row],[年份]]+表1_[[#This Row],[行政区域]]</f>
        <v>122014</v>
      </c>
    </row>
    <row r="22" spans="1:5" x14ac:dyDescent="0.3">
      <c r="A22" t="s">
        <v>20</v>
      </c>
      <c r="B22" t="s">
        <v>301</v>
      </c>
      <c r="C22">
        <v>21744</v>
      </c>
      <c r="D22">
        <f>VLOOKUP(表1_[[#This Row],[地区]],Sheet2!A:B,2,0)</f>
        <v>130000</v>
      </c>
      <c r="E22">
        <f>表1_[[#This Row],[年份]]+表1_[[#This Row],[行政区域]]</f>
        <v>132023</v>
      </c>
    </row>
    <row r="23" spans="1:5" x14ac:dyDescent="0.3">
      <c r="A23" t="s">
        <v>20</v>
      </c>
      <c r="B23" t="s">
        <v>302</v>
      </c>
      <c r="C23">
        <v>20457</v>
      </c>
      <c r="D23">
        <f>VLOOKUP(表1_[[#This Row],[地区]],Sheet2!A:B,2,0)</f>
        <v>130000</v>
      </c>
      <c r="E23">
        <f>表1_[[#This Row],[年份]]+表1_[[#This Row],[行政区域]]</f>
        <v>132022</v>
      </c>
    </row>
    <row r="24" spans="1:5" x14ac:dyDescent="0.3">
      <c r="A24" t="s">
        <v>20</v>
      </c>
      <c r="B24" t="s">
        <v>303</v>
      </c>
      <c r="C24">
        <v>22320</v>
      </c>
      <c r="D24">
        <f>VLOOKUP(表1_[[#This Row],[地区]],Sheet2!A:B,2,0)</f>
        <v>130000</v>
      </c>
      <c r="E24">
        <f>表1_[[#This Row],[年份]]+表1_[[#This Row],[行政区域]]</f>
        <v>132021</v>
      </c>
    </row>
    <row r="25" spans="1:5" x14ac:dyDescent="0.3">
      <c r="A25" t="s">
        <v>20</v>
      </c>
      <c r="B25" t="s">
        <v>304</v>
      </c>
      <c r="C25">
        <v>18880</v>
      </c>
      <c r="D25">
        <f>VLOOKUP(表1_[[#This Row],[地区]],Sheet2!A:B,2,0)</f>
        <v>130000</v>
      </c>
      <c r="E25">
        <f>表1_[[#This Row],[年份]]+表1_[[#This Row],[行政区域]]</f>
        <v>132020</v>
      </c>
    </row>
    <row r="26" spans="1:5" x14ac:dyDescent="0.3">
      <c r="A26" t="s">
        <v>20</v>
      </c>
      <c r="B26" t="s">
        <v>305</v>
      </c>
      <c r="C26">
        <v>17661</v>
      </c>
      <c r="D26">
        <f>VLOOKUP(表1_[[#This Row],[地区]],Sheet2!A:B,2,0)</f>
        <v>130000</v>
      </c>
      <c r="E26">
        <f>表1_[[#This Row],[年份]]+表1_[[#This Row],[行政区域]]</f>
        <v>132019</v>
      </c>
    </row>
    <row r="27" spans="1:5" x14ac:dyDescent="0.3">
      <c r="A27" t="s">
        <v>20</v>
      </c>
      <c r="B27" t="s">
        <v>306</v>
      </c>
      <c r="C27">
        <v>17631</v>
      </c>
      <c r="D27">
        <f>VLOOKUP(表1_[[#This Row],[地区]],Sheet2!A:B,2,0)</f>
        <v>130000</v>
      </c>
      <c r="E27">
        <f>表1_[[#This Row],[年份]]+表1_[[#This Row],[行政区域]]</f>
        <v>132018</v>
      </c>
    </row>
    <row r="28" spans="1:5" x14ac:dyDescent="0.3">
      <c r="A28" t="s">
        <v>20</v>
      </c>
      <c r="B28" t="s">
        <v>307</v>
      </c>
      <c r="C28">
        <v>17690</v>
      </c>
      <c r="D28">
        <f>VLOOKUP(表1_[[#This Row],[地区]],Sheet2!A:B,2,0)</f>
        <v>130000</v>
      </c>
      <c r="E28">
        <f>表1_[[#This Row],[年份]]+表1_[[#This Row],[行政区域]]</f>
        <v>132017</v>
      </c>
    </row>
    <row r="29" spans="1:5" x14ac:dyDescent="0.3">
      <c r="A29" t="s">
        <v>20</v>
      </c>
      <c r="B29" t="s">
        <v>308</v>
      </c>
      <c r="C29">
        <v>17776</v>
      </c>
      <c r="D29">
        <f>VLOOKUP(表1_[[#This Row],[地区]],Sheet2!A:B,2,0)</f>
        <v>130000</v>
      </c>
      <c r="E29">
        <f>表1_[[#This Row],[年份]]+表1_[[#This Row],[行政区域]]</f>
        <v>132016</v>
      </c>
    </row>
    <row r="30" spans="1:5" x14ac:dyDescent="0.3">
      <c r="A30" t="s">
        <v>20</v>
      </c>
      <c r="B30" t="s">
        <v>309</v>
      </c>
      <c r="C30">
        <v>19900</v>
      </c>
      <c r="D30">
        <f>VLOOKUP(表1_[[#This Row],[地区]],Sheet2!A:B,2,0)</f>
        <v>130000</v>
      </c>
      <c r="E30">
        <f>表1_[[#This Row],[年份]]+表1_[[#This Row],[行政区域]]</f>
        <v>132015</v>
      </c>
    </row>
    <row r="31" spans="1:5" x14ac:dyDescent="0.3">
      <c r="A31" t="s">
        <v>20</v>
      </c>
      <c r="B31" t="s">
        <v>310</v>
      </c>
      <c r="C31">
        <v>18228</v>
      </c>
      <c r="D31">
        <f>VLOOKUP(表1_[[#This Row],[地区]],Sheet2!A:B,2,0)</f>
        <v>130000</v>
      </c>
      <c r="E31">
        <f>表1_[[#This Row],[年份]]+表1_[[#This Row],[行政区域]]</f>
        <v>132014</v>
      </c>
    </row>
    <row r="32" spans="1:5" x14ac:dyDescent="0.3">
      <c r="A32" t="s">
        <v>30</v>
      </c>
      <c r="B32" t="s">
        <v>301</v>
      </c>
      <c r="C32">
        <v>20716</v>
      </c>
      <c r="D32">
        <f>VLOOKUP(表1_[[#This Row],[地区]],Sheet2!A:B,2,0)</f>
        <v>140000</v>
      </c>
      <c r="E32">
        <f>表1_[[#This Row],[年份]]+表1_[[#This Row],[行政区域]]</f>
        <v>142023</v>
      </c>
    </row>
    <row r="33" spans="1:5" x14ac:dyDescent="0.3">
      <c r="A33" t="s">
        <v>30</v>
      </c>
      <c r="B33" t="s">
        <v>302</v>
      </c>
      <c r="C33">
        <v>18743</v>
      </c>
      <c r="D33">
        <f>VLOOKUP(表1_[[#This Row],[地区]],Sheet2!A:B,2,0)</f>
        <v>140000</v>
      </c>
      <c r="E33">
        <f>表1_[[#This Row],[年份]]+表1_[[#This Row],[行政区域]]</f>
        <v>142022</v>
      </c>
    </row>
    <row r="34" spans="1:5" x14ac:dyDescent="0.3">
      <c r="A34" t="s">
        <v>30</v>
      </c>
      <c r="B34" t="s">
        <v>303</v>
      </c>
      <c r="C34">
        <v>18585</v>
      </c>
      <c r="D34">
        <f>VLOOKUP(表1_[[#This Row],[地区]],Sheet2!A:B,2,0)</f>
        <v>140000</v>
      </c>
      <c r="E34">
        <f>表1_[[#This Row],[年份]]+表1_[[#This Row],[行政区域]]</f>
        <v>142021</v>
      </c>
    </row>
    <row r="35" spans="1:5" x14ac:dyDescent="0.3">
      <c r="A35" t="s">
        <v>30</v>
      </c>
      <c r="B35" t="s">
        <v>304</v>
      </c>
      <c r="C35">
        <v>17150</v>
      </c>
      <c r="D35">
        <f>VLOOKUP(表1_[[#This Row],[地区]],Sheet2!A:B,2,0)</f>
        <v>140000</v>
      </c>
      <c r="E35">
        <f>表1_[[#This Row],[年份]]+表1_[[#This Row],[行政区域]]</f>
        <v>142020</v>
      </c>
    </row>
    <row r="36" spans="1:5" x14ac:dyDescent="0.3">
      <c r="A36" t="s">
        <v>30</v>
      </c>
      <c r="B36" t="s">
        <v>305</v>
      </c>
      <c r="C36">
        <v>18440</v>
      </c>
      <c r="D36">
        <f>VLOOKUP(表1_[[#This Row],[地区]],Sheet2!A:B,2,0)</f>
        <v>140000</v>
      </c>
      <c r="E36">
        <f>表1_[[#This Row],[年份]]+表1_[[#This Row],[行政区域]]</f>
        <v>142019</v>
      </c>
    </row>
    <row r="37" spans="1:5" x14ac:dyDescent="0.3">
      <c r="A37" t="s">
        <v>30</v>
      </c>
      <c r="B37" t="s">
        <v>306</v>
      </c>
      <c r="C37">
        <v>16941</v>
      </c>
      <c r="D37">
        <f>VLOOKUP(表1_[[#This Row],[地区]],Sheet2!A:B,2,0)</f>
        <v>140000</v>
      </c>
      <c r="E37">
        <f>表1_[[#This Row],[年份]]+表1_[[#This Row],[行政区域]]</f>
        <v>142018</v>
      </c>
    </row>
    <row r="38" spans="1:5" x14ac:dyDescent="0.3">
      <c r="A38" t="s">
        <v>30</v>
      </c>
      <c r="B38" t="s">
        <v>307</v>
      </c>
      <c r="C38">
        <v>16276</v>
      </c>
      <c r="D38">
        <f>VLOOKUP(表1_[[#This Row],[地区]],Sheet2!A:B,2,0)</f>
        <v>140000</v>
      </c>
      <c r="E38">
        <f>表1_[[#This Row],[年份]]+表1_[[#This Row],[行政区域]]</f>
        <v>142017</v>
      </c>
    </row>
    <row r="39" spans="1:5" x14ac:dyDescent="0.3">
      <c r="A39" t="s">
        <v>30</v>
      </c>
      <c r="B39" t="s">
        <v>308</v>
      </c>
      <c r="C39">
        <v>17654</v>
      </c>
      <c r="D39">
        <f>VLOOKUP(表1_[[#This Row],[地区]],Sheet2!A:B,2,0)</f>
        <v>140000</v>
      </c>
      <c r="E39">
        <f>表1_[[#This Row],[年份]]+表1_[[#This Row],[行政区域]]</f>
        <v>142016</v>
      </c>
    </row>
    <row r="40" spans="1:5" x14ac:dyDescent="0.3">
      <c r="A40" t="s">
        <v>30</v>
      </c>
      <c r="B40" t="s">
        <v>309</v>
      </c>
      <c r="C40">
        <v>17617</v>
      </c>
      <c r="D40">
        <f>VLOOKUP(表1_[[#This Row],[地区]],Sheet2!A:B,2,0)</f>
        <v>140000</v>
      </c>
      <c r="E40">
        <f>表1_[[#This Row],[年份]]+表1_[[#This Row],[行政区域]]</f>
        <v>142015</v>
      </c>
    </row>
    <row r="41" spans="1:5" x14ac:dyDescent="0.3">
      <c r="A41" t="s">
        <v>30</v>
      </c>
      <c r="B41" t="s">
        <v>310</v>
      </c>
      <c r="C41">
        <v>19681</v>
      </c>
      <c r="D41">
        <f>VLOOKUP(表1_[[#This Row],[地区]],Sheet2!A:B,2,0)</f>
        <v>140000</v>
      </c>
      <c r="E41">
        <f>表1_[[#This Row],[年份]]+表1_[[#This Row],[行政区域]]</f>
        <v>142014</v>
      </c>
    </row>
    <row r="42" spans="1:5" x14ac:dyDescent="0.3">
      <c r="A42" t="s">
        <v>40</v>
      </c>
      <c r="B42" t="s">
        <v>301</v>
      </c>
      <c r="C42">
        <v>20345</v>
      </c>
      <c r="D42">
        <f>VLOOKUP(表1_[[#This Row],[地区]],Sheet2!A:B,2,0)</f>
        <v>150000</v>
      </c>
      <c r="E42">
        <f>表1_[[#This Row],[年份]]+表1_[[#This Row],[行政区域]]</f>
        <v>152023</v>
      </c>
    </row>
    <row r="43" spans="1:5" x14ac:dyDescent="0.3">
      <c r="A43" t="s">
        <v>40</v>
      </c>
      <c r="B43" t="s">
        <v>302</v>
      </c>
      <c r="C43">
        <v>16753</v>
      </c>
      <c r="D43">
        <f>VLOOKUP(表1_[[#This Row],[地区]],Sheet2!A:B,2,0)</f>
        <v>150000</v>
      </c>
      <c r="E43">
        <f>表1_[[#This Row],[年份]]+表1_[[#This Row],[行政区域]]</f>
        <v>152022</v>
      </c>
    </row>
    <row r="44" spans="1:5" x14ac:dyDescent="0.3">
      <c r="A44" t="s">
        <v>40</v>
      </c>
      <c r="B44" t="s">
        <v>303</v>
      </c>
      <c r="C44">
        <v>13814</v>
      </c>
      <c r="D44">
        <f>VLOOKUP(表1_[[#This Row],[地区]],Sheet2!A:B,2,0)</f>
        <v>150000</v>
      </c>
      <c r="E44">
        <f>表1_[[#This Row],[年份]]+表1_[[#This Row],[行政区域]]</f>
        <v>152021</v>
      </c>
    </row>
    <row r="45" spans="1:5" x14ac:dyDescent="0.3">
      <c r="A45" t="s">
        <v>40</v>
      </c>
      <c r="B45" t="s">
        <v>304</v>
      </c>
      <c r="C45">
        <v>12377</v>
      </c>
      <c r="D45">
        <f>VLOOKUP(表1_[[#This Row],[地区]],Sheet2!A:B,2,0)</f>
        <v>150000</v>
      </c>
      <c r="E45">
        <f>表1_[[#This Row],[年份]]+表1_[[#This Row],[行政区域]]</f>
        <v>152020</v>
      </c>
    </row>
    <row r="46" spans="1:5" x14ac:dyDescent="0.3">
      <c r="A46" t="s">
        <v>40</v>
      </c>
      <c r="B46" t="s">
        <v>305</v>
      </c>
      <c r="C46">
        <v>11469</v>
      </c>
      <c r="D46">
        <f>VLOOKUP(表1_[[#This Row],[地区]],Sheet2!A:B,2,0)</f>
        <v>150000</v>
      </c>
      <c r="E46">
        <f>表1_[[#This Row],[年份]]+表1_[[#This Row],[行政区域]]</f>
        <v>152019</v>
      </c>
    </row>
    <row r="47" spans="1:5" x14ac:dyDescent="0.3">
      <c r="A47" t="s">
        <v>40</v>
      </c>
      <c r="B47" t="s">
        <v>306</v>
      </c>
      <c r="C47">
        <v>9311</v>
      </c>
      <c r="D47">
        <f>VLOOKUP(表1_[[#This Row],[地区]],Sheet2!A:B,2,0)</f>
        <v>150000</v>
      </c>
      <c r="E47">
        <f>表1_[[#This Row],[年份]]+表1_[[#This Row],[行政区域]]</f>
        <v>152018</v>
      </c>
    </row>
    <row r="48" spans="1:5" x14ac:dyDescent="0.3">
      <c r="A48" t="s">
        <v>40</v>
      </c>
      <c r="B48" t="s">
        <v>307</v>
      </c>
      <c r="C48">
        <v>9357</v>
      </c>
      <c r="D48">
        <f>VLOOKUP(表1_[[#This Row],[地区]],Sheet2!A:B,2,0)</f>
        <v>150000</v>
      </c>
      <c r="E48">
        <f>表1_[[#This Row],[年份]]+表1_[[#This Row],[行政区域]]</f>
        <v>152017</v>
      </c>
    </row>
    <row r="49" spans="1:5" x14ac:dyDescent="0.3">
      <c r="A49" t="s">
        <v>40</v>
      </c>
      <c r="B49" t="s">
        <v>308</v>
      </c>
      <c r="C49">
        <v>10461</v>
      </c>
      <c r="D49">
        <f>VLOOKUP(表1_[[#This Row],[地区]],Sheet2!A:B,2,0)</f>
        <v>150000</v>
      </c>
      <c r="E49">
        <f>表1_[[#This Row],[年份]]+表1_[[#This Row],[行政区域]]</f>
        <v>152016</v>
      </c>
    </row>
    <row r="50" spans="1:5" x14ac:dyDescent="0.3">
      <c r="A50" t="s">
        <v>40</v>
      </c>
      <c r="B50" t="s">
        <v>309</v>
      </c>
      <c r="C50">
        <v>12306</v>
      </c>
      <c r="D50">
        <f>VLOOKUP(表1_[[#This Row],[地区]],Sheet2!A:B,2,0)</f>
        <v>150000</v>
      </c>
      <c r="E50">
        <f>表1_[[#This Row],[年份]]+表1_[[#This Row],[行政区域]]</f>
        <v>152015</v>
      </c>
    </row>
    <row r="51" spans="1:5" x14ac:dyDescent="0.3">
      <c r="A51" t="s">
        <v>40</v>
      </c>
      <c r="B51" t="s">
        <v>310</v>
      </c>
      <c r="C51">
        <v>13260</v>
      </c>
      <c r="D51">
        <f>VLOOKUP(表1_[[#This Row],[地区]],Sheet2!A:B,2,0)</f>
        <v>150000</v>
      </c>
      <c r="E51">
        <f>表1_[[#This Row],[年份]]+表1_[[#This Row],[行政区域]]</f>
        <v>152014</v>
      </c>
    </row>
    <row r="52" spans="1:5" x14ac:dyDescent="0.3">
      <c r="A52" t="s">
        <v>50</v>
      </c>
      <c r="B52" t="s">
        <v>301</v>
      </c>
      <c r="C52">
        <v>13137</v>
      </c>
      <c r="D52">
        <f>VLOOKUP(表1_[[#This Row],[地区]],Sheet2!A:B,2,0)</f>
        <v>210000</v>
      </c>
      <c r="E52">
        <f>表1_[[#This Row],[年份]]+表1_[[#This Row],[行政区域]]</f>
        <v>212023</v>
      </c>
    </row>
    <row r="53" spans="1:5" x14ac:dyDescent="0.3">
      <c r="A53" t="s">
        <v>50</v>
      </c>
      <c r="B53" t="s">
        <v>302</v>
      </c>
      <c r="C53">
        <v>12177</v>
      </c>
      <c r="D53">
        <f>VLOOKUP(表1_[[#This Row],[地区]],Sheet2!A:B,2,0)</f>
        <v>210000</v>
      </c>
      <c r="E53">
        <f>表1_[[#This Row],[年份]]+表1_[[#This Row],[行政区域]]</f>
        <v>212022</v>
      </c>
    </row>
    <row r="54" spans="1:5" x14ac:dyDescent="0.3">
      <c r="A54" t="s">
        <v>50</v>
      </c>
      <c r="B54" t="s">
        <v>303</v>
      </c>
      <c r="C54">
        <v>13139</v>
      </c>
      <c r="D54">
        <f>VLOOKUP(表1_[[#This Row],[地区]],Sheet2!A:B,2,0)</f>
        <v>210000</v>
      </c>
      <c r="E54">
        <f>表1_[[#This Row],[年份]]+表1_[[#This Row],[行政区域]]</f>
        <v>212021</v>
      </c>
    </row>
    <row r="55" spans="1:5" x14ac:dyDescent="0.3">
      <c r="A55" t="s">
        <v>50</v>
      </c>
      <c r="B55" t="s">
        <v>304</v>
      </c>
      <c r="C55">
        <v>11478</v>
      </c>
      <c r="D55">
        <f>VLOOKUP(表1_[[#This Row],[地区]],Sheet2!A:B,2,0)</f>
        <v>210000</v>
      </c>
      <c r="E55">
        <f>表1_[[#This Row],[年份]]+表1_[[#This Row],[行政区域]]</f>
        <v>212020</v>
      </c>
    </row>
    <row r="56" spans="1:5" x14ac:dyDescent="0.3">
      <c r="A56" t="s">
        <v>50</v>
      </c>
      <c r="B56" t="s">
        <v>305</v>
      </c>
      <c r="C56">
        <v>10527</v>
      </c>
      <c r="D56">
        <f>VLOOKUP(表1_[[#This Row],[地区]],Sheet2!A:B,2,0)</f>
        <v>210000</v>
      </c>
      <c r="E56">
        <f>表1_[[#This Row],[年份]]+表1_[[#This Row],[行政区域]]</f>
        <v>212019</v>
      </c>
    </row>
    <row r="57" spans="1:5" x14ac:dyDescent="0.3">
      <c r="A57" t="s">
        <v>50</v>
      </c>
      <c r="B57" t="s">
        <v>306</v>
      </c>
      <c r="C57">
        <v>10793</v>
      </c>
      <c r="D57">
        <f>VLOOKUP(表1_[[#This Row],[地区]],Sheet2!A:B,2,0)</f>
        <v>210000</v>
      </c>
      <c r="E57">
        <f>表1_[[#This Row],[年份]]+表1_[[#This Row],[行政区域]]</f>
        <v>212018</v>
      </c>
    </row>
    <row r="58" spans="1:5" x14ac:dyDescent="0.3">
      <c r="A58" t="s">
        <v>50</v>
      </c>
      <c r="B58" t="s">
        <v>307</v>
      </c>
      <c r="C58">
        <v>10531</v>
      </c>
      <c r="D58">
        <f>VLOOKUP(表1_[[#This Row],[地区]],Sheet2!A:B,2,0)</f>
        <v>210000</v>
      </c>
      <c r="E58">
        <f>表1_[[#This Row],[年份]]+表1_[[#This Row],[行政区域]]</f>
        <v>212017</v>
      </c>
    </row>
    <row r="59" spans="1:5" x14ac:dyDescent="0.3">
      <c r="A59" t="s">
        <v>50</v>
      </c>
      <c r="B59" t="s">
        <v>308</v>
      </c>
      <c r="C59">
        <v>9514</v>
      </c>
      <c r="D59">
        <f>VLOOKUP(表1_[[#This Row],[地区]],Sheet2!A:B,2,0)</f>
        <v>210000</v>
      </c>
      <c r="E59">
        <f>表1_[[#This Row],[年份]]+表1_[[#This Row],[行政区域]]</f>
        <v>212016</v>
      </c>
    </row>
    <row r="60" spans="1:5" x14ac:dyDescent="0.3">
      <c r="A60" t="s">
        <v>50</v>
      </c>
      <c r="B60" t="s">
        <v>309</v>
      </c>
      <c r="C60">
        <v>10029</v>
      </c>
      <c r="D60">
        <f>VLOOKUP(表1_[[#This Row],[地区]],Sheet2!A:B,2,0)</f>
        <v>210000</v>
      </c>
      <c r="E60">
        <f>表1_[[#This Row],[年份]]+表1_[[#This Row],[行政区域]]</f>
        <v>212015</v>
      </c>
    </row>
    <row r="61" spans="1:5" x14ac:dyDescent="0.3">
      <c r="A61" t="s">
        <v>50</v>
      </c>
      <c r="B61" t="s">
        <v>310</v>
      </c>
      <c r="C61">
        <v>10719</v>
      </c>
      <c r="D61">
        <f>VLOOKUP(表1_[[#This Row],[地区]],Sheet2!A:B,2,0)</f>
        <v>210000</v>
      </c>
      <c r="E61">
        <f>表1_[[#This Row],[年份]]+表1_[[#This Row],[行政区域]]</f>
        <v>212014</v>
      </c>
    </row>
    <row r="62" spans="1:5" x14ac:dyDescent="0.3">
      <c r="A62" t="s">
        <v>60</v>
      </c>
      <c r="B62" t="s">
        <v>301</v>
      </c>
      <c r="C62">
        <v>2759</v>
      </c>
      <c r="D62">
        <f>VLOOKUP(表1_[[#This Row],[地区]],Sheet2!A:B,2,0)</f>
        <v>220000</v>
      </c>
      <c r="E62">
        <f>表1_[[#This Row],[年份]]+表1_[[#This Row],[行政区域]]</f>
        <v>222023</v>
      </c>
    </row>
    <row r="63" spans="1:5" x14ac:dyDescent="0.3">
      <c r="A63" t="s">
        <v>60</v>
      </c>
      <c r="B63" t="s">
        <v>302</v>
      </c>
      <c r="C63">
        <v>2609</v>
      </c>
      <c r="D63">
        <f>VLOOKUP(表1_[[#This Row],[地区]],Sheet2!A:B,2,0)</f>
        <v>220000</v>
      </c>
      <c r="E63">
        <f>表1_[[#This Row],[年份]]+表1_[[#This Row],[行政区域]]</f>
        <v>222022</v>
      </c>
    </row>
    <row r="64" spans="1:5" x14ac:dyDescent="0.3">
      <c r="A64" t="s">
        <v>60</v>
      </c>
      <c r="B64" t="s">
        <v>303</v>
      </c>
      <c r="C64">
        <v>2639</v>
      </c>
      <c r="D64">
        <f>VLOOKUP(表1_[[#This Row],[地区]],Sheet2!A:B,2,0)</f>
        <v>220000</v>
      </c>
      <c r="E64">
        <f>表1_[[#This Row],[年份]]+表1_[[#This Row],[行政区域]]</f>
        <v>222021</v>
      </c>
    </row>
    <row r="65" spans="1:5" x14ac:dyDescent="0.3">
      <c r="A65" t="s">
        <v>60</v>
      </c>
      <c r="B65" t="s">
        <v>304</v>
      </c>
      <c r="C65">
        <v>2407</v>
      </c>
      <c r="D65">
        <f>VLOOKUP(表1_[[#This Row],[地区]],Sheet2!A:B,2,0)</f>
        <v>220000</v>
      </c>
      <c r="E65">
        <f>表1_[[#This Row],[年份]]+表1_[[#This Row],[行政区域]]</f>
        <v>222020</v>
      </c>
    </row>
    <row r="66" spans="1:5" x14ac:dyDescent="0.3">
      <c r="A66" t="s">
        <v>60</v>
      </c>
      <c r="B66" t="s">
        <v>305</v>
      </c>
      <c r="C66">
        <v>2885</v>
      </c>
      <c r="D66">
        <f>VLOOKUP(表1_[[#This Row],[地区]],Sheet2!A:B,2,0)</f>
        <v>220000</v>
      </c>
      <c r="E66">
        <f>表1_[[#This Row],[年份]]+表1_[[#This Row],[行政区域]]</f>
        <v>222019</v>
      </c>
    </row>
    <row r="67" spans="1:5" x14ac:dyDescent="0.3">
      <c r="A67" t="s">
        <v>60</v>
      </c>
      <c r="B67" t="s">
        <v>306</v>
      </c>
      <c r="C67">
        <v>2661</v>
      </c>
      <c r="D67">
        <f>VLOOKUP(表1_[[#This Row],[地区]],Sheet2!A:B,2,0)</f>
        <v>220000</v>
      </c>
      <c r="E67">
        <f>表1_[[#This Row],[年份]]+表1_[[#This Row],[行政区域]]</f>
        <v>222018</v>
      </c>
    </row>
    <row r="68" spans="1:5" x14ac:dyDescent="0.3">
      <c r="A68" t="s">
        <v>60</v>
      </c>
      <c r="B68" t="s">
        <v>307</v>
      </c>
      <c r="C68">
        <v>2691</v>
      </c>
      <c r="D68">
        <f>VLOOKUP(表1_[[#This Row],[地区]],Sheet2!A:B,2,0)</f>
        <v>220000</v>
      </c>
      <c r="E68">
        <f>表1_[[#This Row],[年份]]+表1_[[#This Row],[行政区域]]</f>
        <v>222017</v>
      </c>
    </row>
    <row r="69" spans="1:5" x14ac:dyDescent="0.3">
      <c r="A69" t="s">
        <v>60</v>
      </c>
      <c r="B69" t="s">
        <v>308</v>
      </c>
      <c r="C69">
        <v>2957</v>
      </c>
      <c r="D69">
        <f>VLOOKUP(表1_[[#This Row],[地区]],Sheet2!A:B,2,0)</f>
        <v>220000</v>
      </c>
      <c r="E69">
        <f>表1_[[#This Row],[年份]]+表1_[[#This Row],[行政区域]]</f>
        <v>222016</v>
      </c>
    </row>
    <row r="70" spans="1:5" x14ac:dyDescent="0.3">
      <c r="A70" t="s">
        <v>60</v>
      </c>
      <c r="B70" t="s">
        <v>309</v>
      </c>
      <c r="C70">
        <v>2986</v>
      </c>
      <c r="D70">
        <f>VLOOKUP(表1_[[#This Row],[地区]],Sheet2!A:B,2,0)</f>
        <v>220000</v>
      </c>
      <c r="E70">
        <f>表1_[[#This Row],[年份]]+表1_[[#This Row],[行政区域]]</f>
        <v>222015</v>
      </c>
    </row>
    <row r="71" spans="1:5" x14ac:dyDescent="0.3">
      <c r="A71" t="s">
        <v>60</v>
      </c>
      <c r="B71" t="s">
        <v>310</v>
      </c>
      <c r="C71">
        <v>3478</v>
      </c>
      <c r="D71">
        <f>VLOOKUP(表1_[[#This Row],[地区]],Sheet2!A:B,2,0)</f>
        <v>220000</v>
      </c>
      <c r="E71">
        <f>表1_[[#This Row],[年份]]+表1_[[#This Row],[行政区域]]</f>
        <v>222014</v>
      </c>
    </row>
    <row r="72" spans="1:5" x14ac:dyDescent="0.3">
      <c r="A72" t="s">
        <v>70</v>
      </c>
      <c r="B72" t="s">
        <v>301</v>
      </c>
      <c r="C72">
        <v>3968</v>
      </c>
      <c r="D72">
        <f>VLOOKUP(表1_[[#This Row],[地区]],Sheet2!A:B,2,0)</f>
        <v>230000</v>
      </c>
      <c r="E72">
        <f>表1_[[#This Row],[年份]]+表1_[[#This Row],[行政区域]]</f>
        <v>232023</v>
      </c>
    </row>
    <row r="73" spans="1:5" x14ac:dyDescent="0.3">
      <c r="A73" t="s">
        <v>70</v>
      </c>
      <c r="B73" t="s">
        <v>302</v>
      </c>
      <c r="C73">
        <v>4110</v>
      </c>
      <c r="D73">
        <f>VLOOKUP(表1_[[#This Row],[地区]],Sheet2!A:B,2,0)</f>
        <v>230000</v>
      </c>
      <c r="E73">
        <f>表1_[[#This Row],[年份]]+表1_[[#This Row],[行政区域]]</f>
        <v>232022</v>
      </c>
    </row>
    <row r="74" spans="1:5" x14ac:dyDescent="0.3">
      <c r="A74" t="s">
        <v>70</v>
      </c>
      <c r="B74" t="s">
        <v>303</v>
      </c>
      <c r="C74">
        <v>3609</v>
      </c>
      <c r="D74">
        <f>VLOOKUP(表1_[[#This Row],[地区]],Sheet2!A:B,2,0)</f>
        <v>230000</v>
      </c>
      <c r="E74">
        <f>表1_[[#This Row],[年份]]+表1_[[#This Row],[行政区域]]</f>
        <v>232021</v>
      </c>
    </row>
    <row r="75" spans="1:5" x14ac:dyDescent="0.3">
      <c r="A75" t="s">
        <v>70</v>
      </c>
      <c r="B75" t="s">
        <v>304</v>
      </c>
      <c r="C75">
        <v>3166</v>
      </c>
      <c r="D75">
        <f>VLOOKUP(表1_[[#This Row],[地区]],Sheet2!A:B,2,0)</f>
        <v>230000</v>
      </c>
      <c r="E75">
        <f>表1_[[#This Row],[年份]]+表1_[[#This Row],[行政区域]]</f>
        <v>232020</v>
      </c>
    </row>
    <row r="76" spans="1:5" x14ac:dyDescent="0.3">
      <c r="A76" t="s">
        <v>70</v>
      </c>
      <c r="B76" t="s">
        <v>305</v>
      </c>
      <c r="C76">
        <v>4560</v>
      </c>
      <c r="D76">
        <f>VLOOKUP(表1_[[#This Row],[地区]],Sheet2!A:B,2,0)</f>
        <v>230000</v>
      </c>
      <c r="E76">
        <f>表1_[[#This Row],[年份]]+表1_[[#This Row],[行政区域]]</f>
        <v>232019</v>
      </c>
    </row>
    <row r="77" spans="1:5" x14ac:dyDescent="0.3">
      <c r="A77" t="s">
        <v>70</v>
      </c>
      <c r="B77" t="s">
        <v>306</v>
      </c>
      <c r="C77">
        <v>5152</v>
      </c>
      <c r="D77">
        <f>VLOOKUP(表1_[[#This Row],[地区]],Sheet2!A:B,2,0)</f>
        <v>230000</v>
      </c>
      <c r="E77">
        <f>表1_[[#This Row],[年份]]+表1_[[#This Row],[行政区域]]</f>
        <v>232018</v>
      </c>
    </row>
    <row r="78" spans="1:5" x14ac:dyDescent="0.3">
      <c r="A78" t="s">
        <v>70</v>
      </c>
      <c r="B78" t="s">
        <v>307</v>
      </c>
      <c r="C78">
        <v>3883</v>
      </c>
      <c r="D78">
        <f>VLOOKUP(表1_[[#This Row],[地区]],Sheet2!A:B,2,0)</f>
        <v>230000</v>
      </c>
      <c r="E78">
        <f>表1_[[#This Row],[年份]]+表1_[[#This Row],[行政区域]]</f>
        <v>232017</v>
      </c>
    </row>
    <row r="79" spans="1:5" x14ac:dyDescent="0.3">
      <c r="A79" t="s">
        <v>70</v>
      </c>
      <c r="B79" t="s">
        <v>308</v>
      </c>
      <c r="C79">
        <v>4879</v>
      </c>
      <c r="D79">
        <f>VLOOKUP(表1_[[#This Row],[地区]],Sheet2!A:B,2,0)</f>
        <v>230000</v>
      </c>
      <c r="E79">
        <f>表1_[[#This Row],[年份]]+表1_[[#This Row],[行政区域]]</f>
        <v>232016</v>
      </c>
    </row>
    <row r="80" spans="1:5" x14ac:dyDescent="0.3">
      <c r="A80" t="s">
        <v>70</v>
      </c>
      <c r="B80" t="s">
        <v>309</v>
      </c>
      <c r="C80">
        <v>4308</v>
      </c>
      <c r="D80">
        <f>VLOOKUP(表1_[[#This Row],[地区]],Sheet2!A:B,2,0)</f>
        <v>230000</v>
      </c>
      <c r="E80">
        <f>表1_[[#This Row],[年份]]+表1_[[#This Row],[行政区域]]</f>
        <v>232015</v>
      </c>
    </row>
    <row r="81" spans="1:5" x14ac:dyDescent="0.3">
      <c r="A81" t="s">
        <v>70</v>
      </c>
      <c r="B81" t="s">
        <v>310</v>
      </c>
      <c r="C81">
        <v>4069</v>
      </c>
      <c r="D81">
        <f>VLOOKUP(表1_[[#This Row],[地区]],Sheet2!A:B,2,0)</f>
        <v>230000</v>
      </c>
      <c r="E81">
        <f>表1_[[#This Row],[年份]]+表1_[[#This Row],[行政区域]]</f>
        <v>232014</v>
      </c>
    </row>
    <row r="82" spans="1:5" x14ac:dyDescent="0.3">
      <c r="A82" t="s">
        <v>80</v>
      </c>
      <c r="B82" t="s">
        <v>301</v>
      </c>
      <c r="C82">
        <v>2070</v>
      </c>
      <c r="D82">
        <f>VLOOKUP(表1_[[#This Row],[地区]],Sheet2!A:B,2,0)</f>
        <v>310000</v>
      </c>
      <c r="E82">
        <f>表1_[[#This Row],[年份]]+表1_[[#This Row],[行政区域]]</f>
        <v>312023</v>
      </c>
    </row>
    <row r="83" spans="1:5" x14ac:dyDescent="0.3">
      <c r="A83" t="s">
        <v>80</v>
      </c>
      <c r="B83" t="s">
        <v>302</v>
      </c>
      <c r="C83">
        <v>1961</v>
      </c>
      <c r="D83">
        <f>VLOOKUP(表1_[[#This Row],[地区]],Sheet2!A:B,2,0)</f>
        <v>310000</v>
      </c>
      <c r="E83">
        <f>表1_[[#This Row],[年份]]+表1_[[#This Row],[行政区域]]</f>
        <v>312022</v>
      </c>
    </row>
    <row r="84" spans="1:5" x14ac:dyDescent="0.3">
      <c r="A84" t="s">
        <v>80</v>
      </c>
      <c r="B84" t="s">
        <v>303</v>
      </c>
      <c r="C84">
        <v>1947</v>
      </c>
      <c r="D84">
        <f>VLOOKUP(表1_[[#This Row],[地区]],Sheet2!A:B,2,0)</f>
        <v>310000</v>
      </c>
      <c r="E84">
        <f>表1_[[#This Row],[年份]]+表1_[[#This Row],[行政区域]]</f>
        <v>312021</v>
      </c>
    </row>
    <row r="85" spans="1:5" x14ac:dyDescent="0.3">
      <c r="A85" t="s">
        <v>80</v>
      </c>
      <c r="B85" t="s">
        <v>304</v>
      </c>
      <c r="C85">
        <v>1702</v>
      </c>
      <c r="D85">
        <f>VLOOKUP(表1_[[#This Row],[地区]],Sheet2!A:B,2,0)</f>
        <v>310000</v>
      </c>
      <c r="E85">
        <f>表1_[[#This Row],[年份]]+表1_[[#This Row],[行政区域]]</f>
        <v>312020</v>
      </c>
    </row>
    <row r="86" spans="1:5" x14ac:dyDescent="0.3">
      <c r="A86" t="s">
        <v>80</v>
      </c>
      <c r="B86" t="s">
        <v>305</v>
      </c>
      <c r="C86">
        <v>1676</v>
      </c>
      <c r="D86">
        <f>VLOOKUP(表1_[[#This Row],[地区]],Sheet2!A:B,2,0)</f>
        <v>310000</v>
      </c>
      <c r="E86">
        <f>表1_[[#This Row],[年份]]+表1_[[#This Row],[行政区域]]</f>
        <v>312019</v>
      </c>
    </row>
    <row r="87" spans="1:5" x14ac:dyDescent="0.3">
      <c r="A87" t="s">
        <v>80</v>
      </c>
      <c r="B87" t="s">
        <v>306</v>
      </c>
      <c r="C87">
        <v>1623</v>
      </c>
      <c r="D87">
        <f>VLOOKUP(表1_[[#This Row],[地区]],Sheet2!A:B,2,0)</f>
        <v>310000</v>
      </c>
      <c r="E87">
        <f>表1_[[#This Row],[年份]]+表1_[[#This Row],[行政区域]]</f>
        <v>312018</v>
      </c>
    </row>
    <row r="88" spans="1:5" x14ac:dyDescent="0.3">
      <c r="A88" t="s">
        <v>80</v>
      </c>
      <c r="B88" t="s">
        <v>307</v>
      </c>
      <c r="C88">
        <v>1681</v>
      </c>
      <c r="D88">
        <f>VLOOKUP(表1_[[#This Row],[地区]],Sheet2!A:B,2,0)</f>
        <v>310000</v>
      </c>
      <c r="E88">
        <f>表1_[[#This Row],[年份]]+表1_[[#This Row],[行政区域]]</f>
        <v>312017</v>
      </c>
    </row>
    <row r="89" spans="1:5" x14ac:dyDescent="0.3">
      <c r="A89" t="s">
        <v>80</v>
      </c>
      <c r="B89" t="s">
        <v>308</v>
      </c>
      <c r="C89">
        <v>1719</v>
      </c>
      <c r="D89">
        <f>VLOOKUP(表1_[[#This Row],[地区]],Sheet2!A:B,2,0)</f>
        <v>310000</v>
      </c>
      <c r="E89">
        <f>表1_[[#This Row],[年份]]+表1_[[#This Row],[行政区域]]</f>
        <v>312016</v>
      </c>
    </row>
    <row r="90" spans="1:5" x14ac:dyDescent="0.3">
      <c r="A90" t="s">
        <v>80</v>
      </c>
      <c r="B90" t="s">
        <v>309</v>
      </c>
      <c r="C90">
        <v>1796</v>
      </c>
      <c r="D90">
        <f>VLOOKUP(表1_[[#This Row],[地区]],Sheet2!A:B,2,0)</f>
        <v>310000</v>
      </c>
      <c r="E90">
        <f>表1_[[#This Row],[年份]]+表1_[[#This Row],[行政区域]]</f>
        <v>312015</v>
      </c>
    </row>
    <row r="91" spans="1:5" x14ac:dyDescent="0.3">
      <c r="A91" t="s">
        <v>80</v>
      </c>
      <c r="B91" t="s">
        <v>310</v>
      </c>
      <c r="C91">
        <v>1877</v>
      </c>
      <c r="D91">
        <f>VLOOKUP(表1_[[#This Row],[地区]],Sheet2!A:B,2,0)</f>
        <v>310000</v>
      </c>
      <c r="E91">
        <f>表1_[[#This Row],[年份]]+表1_[[#This Row],[行政区域]]</f>
        <v>312014</v>
      </c>
    </row>
    <row r="92" spans="1:5" x14ac:dyDescent="0.3">
      <c r="A92" t="s">
        <v>90</v>
      </c>
      <c r="B92" t="s">
        <v>301</v>
      </c>
      <c r="C92">
        <v>13288</v>
      </c>
      <c r="D92">
        <f>VLOOKUP(表1_[[#This Row],[地区]],Sheet2!A:B,2,0)</f>
        <v>320000</v>
      </c>
      <c r="E92">
        <f>表1_[[#This Row],[年份]]+表1_[[#This Row],[行政区域]]</f>
        <v>322023</v>
      </c>
    </row>
    <row r="93" spans="1:5" x14ac:dyDescent="0.3">
      <c r="A93" t="s">
        <v>90</v>
      </c>
      <c r="B93" t="s">
        <v>302</v>
      </c>
      <c r="C93">
        <v>12364</v>
      </c>
      <c r="D93">
        <f>VLOOKUP(表1_[[#This Row],[地区]],Sheet2!A:B,2,0)</f>
        <v>320000</v>
      </c>
      <c r="E93">
        <f>表1_[[#This Row],[年份]]+表1_[[#This Row],[行政区域]]</f>
        <v>322022</v>
      </c>
    </row>
    <row r="94" spans="1:5" x14ac:dyDescent="0.3">
      <c r="A94" t="s">
        <v>90</v>
      </c>
      <c r="B94" t="s">
        <v>303</v>
      </c>
      <c r="C94">
        <v>12350</v>
      </c>
      <c r="D94">
        <f>VLOOKUP(表1_[[#This Row],[地区]],Sheet2!A:B,2,0)</f>
        <v>320000</v>
      </c>
      <c r="E94">
        <f>表1_[[#This Row],[年份]]+表1_[[#This Row],[行政区域]]</f>
        <v>322021</v>
      </c>
    </row>
    <row r="95" spans="1:5" x14ac:dyDescent="0.3">
      <c r="A95" t="s">
        <v>90</v>
      </c>
      <c r="B95" t="s">
        <v>304</v>
      </c>
      <c r="C95">
        <v>10866</v>
      </c>
      <c r="D95">
        <f>VLOOKUP(表1_[[#This Row],[地区]],Sheet2!A:B,2,0)</f>
        <v>320000</v>
      </c>
      <c r="E95">
        <f>表1_[[#This Row],[年份]]+表1_[[#This Row],[行政区域]]</f>
        <v>322020</v>
      </c>
    </row>
    <row r="96" spans="1:5" x14ac:dyDescent="0.3">
      <c r="A96" t="s">
        <v>90</v>
      </c>
      <c r="B96" t="s">
        <v>305</v>
      </c>
      <c r="C96">
        <v>11822</v>
      </c>
      <c r="D96">
        <f>VLOOKUP(表1_[[#This Row],[地区]],Sheet2!A:B,2,0)</f>
        <v>320000</v>
      </c>
      <c r="E96">
        <f>表1_[[#This Row],[年份]]+表1_[[#This Row],[行政区域]]</f>
        <v>322019</v>
      </c>
    </row>
    <row r="97" spans="1:5" x14ac:dyDescent="0.3">
      <c r="A97" t="s">
        <v>90</v>
      </c>
      <c r="B97" t="s">
        <v>306</v>
      </c>
      <c r="C97">
        <v>11834</v>
      </c>
      <c r="D97">
        <f>VLOOKUP(表1_[[#This Row],[地区]],Sheet2!A:B,2,0)</f>
        <v>320000</v>
      </c>
      <c r="E97">
        <f>表1_[[#This Row],[年份]]+表1_[[#This Row],[行政区域]]</f>
        <v>322018</v>
      </c>
    </row>
    <row r="98" spans="1:5" x14ac:dyDescent="0.3">
      <c r="A98" t="s">
        <v>90</v>
      </c>
      <c r="B98" t="s">
        <v>307</v>
      </c>
      <c r="C98">
        <v>12314</v>
      </c>
      <c r="D98">
        <f>VLOOKUP(表1_[[#This Row],[地区]],Sheet2!A:B,2,0)</f>
        <v>320000</v>
      </c>
      <c r="E98">
        <f>表1_[[#This Row],[年份]]+表1_[[#This Row],[行政区域]]</f>
        <v>322017</v>
      </c>
    </row>
    <row r="99" spans="1:5" x14ac:dyDescent="0.3">
      <c r="A99" t="s">
        <v>90</v>
      </c>
      <c r="B99" t="s">
        <v>308</v>
      </c>
      <c r="C99">
        <v>11610</v>
      </c>
      <c r="D99">
        <f>VLOOKUP(表1_[[#This Row],[地区]],Sheet2!A:B,2,0)</f>
        <v>320000</v>
      </c>
      <c r="E99">
        <f>表1_[[#This Row],[年份]]+表1_[[#This Row],[行政区域]]</f>
        <v>322016</v>
      </c>
    </row>
    <row r="100" spans="1:5" x14ac:dyDescent="0.3">
      <c r="A100" t="s">
        <v>90</v>
      </c>
      <c r="B100" t="s">
        <v>309</v>
      </c>
      <c r="C100">
        <v>10207</v>
      </c>
      <c r="D100">
        <f>VLOOKUP(表1_[[#This Row],[地区]],Sheet2!A:B,2,0)</f>
        <v>320000</v>
      </c>
      <c r="E100">
        <f>表1_[[#This Row],[年份]]+表1_[[#This Row],[行政区域]]</f>
        <v>322015</v>
      </c>
    </row>
    <row r="101" spans="1:5" x14ac:dyDescent="0.3">
      <c r="A101" t="s">
        <v>90</v>
      </c>
      <c r="B101" t="s">
        <v>310</v>
      </c>
      <c r="C101">
        <v>10578</v>
      </c>
      <c r="D101">
        <f>VLOOKUP(表1_[[#This Row],[地区]],Sheet2!A:B,2,0)</f>
        <v>320000</v>
      </c>
      <c r="E101">
        <f>表1_[[#This Row],[年份]]+表1_[[#This Row],[行政区域]]</f>
        <v>322014</v>
      </c>
    </row>
    <row r="102" spans="1:5" x14ac:dyDescent="0.3">
      <c r="A102" t="s">
        <v>100</v>
      </c>
      <c r="B102" t="s">
        <v>301</v>
      </c>
      <c r="C102">
        <v>5829</v>
      </c>
      <c r="D102">
        <f>VLOOKUP(表1_[[#This Row],[地区]],Sheet2!A:B,2,0)</f>
        <v>330000</v>
      </c>
      <c r="E102">
        <f>表1_[[#This Row],[年份]]+表1_[[#This Row],[行政区域]]</f>
        <v>332023</v>
      </c>
    </row>
    <row r="103" spans="1:5" x14ac:dyDescent="0.3">
      <c r="A103" t="s">
        <v>100</v>
      </c>
      <c r="B103" t="s">
        <v>302</v>
      </c>
      <c r="C103">
        <v>5494</v>
      </c>
      <c r="D103">
        <f>VLOOKUP(表1_[[#This Row],[地区]],Sheet2!A:B,2,0)</f>
        <v>330000</v>
      </c>
      <c r="E103">
        <f>表1_[[#This Row],[年份]]+表1_[[#This Row],[行政区域]]</f>
        <v>332022</v>
      </c>
    </row>
    <row r="104" spans="1:5" x14ac:dyDescent="0.3">
      <c r="A104" t="s">
        <v>100</v>
      </c>
      <c r="B104" t="s">
        <v>303</v>
      </c>
      <c r="C104">
        <v>5336</v>
      </c>
      <c r="D104">
        <f>VLOOKUP(表1_[[#This Row],[地区]],Sheet2!A:B,2,0)</f>
        <v>330000</v>
      </c>
      <c r="E104">
        <f>表1_[[#This Row],[年份]]+表1_[[#This Row],[行政区域]]</f>
        <v>332021</v>
      </c>
    </row>
    <row r="105" spans="1:5" x14ac:dyDescent="0.3">
      <c r="A105" t="s">
        <v>100</v>
      </c>
      <c r="B105" t="s">
        <v>304</v>
      </c>
      <c r="C105">
        <v>4546</v>
      </c>
      <c r="D105">
        <f>VLOOKUP(表1_[[#This Row],[地区]],Sheet2!A:B,2,0)</f>
        <v>330000</v>
      </c>
      <c r="E105">
        <f>表1_[[#This Row],[年份]]+表1_[[#This Row],[行政区域]]</f>
        <v>332020</v>
      </c>
    </row>
    <row r="106" spans="1:5" x14ac:dyDescent="0.3">
      <c r="A106" t="s">
        <v>100</v>
      </c>
      <c r="B106" t="s">
        <v>305</v>
      </c>
      <c r="C106">
        <v>5355</v>
      </c>
      <c r="D106">
        <f>VLOOKUP(表1_[[#This Row],[地区]],Sheet2!A:B,2,0)</f>
        <v>330000</v>
      </c>
      <c r="E106">
        <f>表1_[[#This Row],[年份]]+表1_[[#This Row],[行政区域]]</f>
        <v>332019</v>
      </c>
    </row>
    <row r="107" spans="1:5" x14ac:dyDescent="0.3">
      <c r="A107" t="s">
        <v>100</v>
      </c>
      <c r="B107" t="s">
        <v>306</v>
      </c>
      <c r="C107">
        <v>5188</v>
      </c>
      <c r="D107">
        <f>VLOOKUP(表1_[[#This Row],[地区]],Sheet2!A:B,2,0)</f>
        <v>330000</v>
      </c>
      <c r="E107">
        <f>表1_[[#This Row],[年份]]+表1_[[#This Row],[行政区域]]</f>
        <v>332018</v>
      </c>
    </row>
    <row r="108" spans="1:5" x14ac:dyDescent="0.3">
      <c r="A108" t="s">
        <v>100</v>
      </c>
      <c r="B108" t="s">
        <v>307</v>
      </c>
      <c r="C108">
        <v>5034</v>
      </c>
      <c r="D108">
        <f>VLOOKUP(表1_[[#This Row],[地区]],Sheet2!A:B,2,0)</f>
        <v>330000</v>
      </c>
      <c r="E108">
        <f>表1_[[#This Row],[年份]]+表1_[[#This Row],[行政区域]]</f>
        <v>332017</v>
      </c>
    </row>
    <row r="109" spans="1:5" x14ac:dyDescent="0.3">
      <c r="A109" t="s">
        <v>100</v>
      </c>
      <c r="B109" t="s">
        <v>308</v>
      </c>
      <c r="C109">
        <v>4886</v>
      </c>
      <c r="D109">
        <f>VLOOKUP(表1_[[#This Row],[地区]],Sheet2!A:B,2,0)</f>
        <v>330000</v>
      </c>
      <c r="E109">
        <f>表1_[[#This Row],[年份]]+表1_[[#This Row],[行政区域]]</f>
        <v>332016</v>
      </c>
    </row>
    <row r="110" spans="1:5" x14ac:dyDescent="0.3">
      <c r="A110" t="s">
        <v>100</v>
      </c>
      <c r="B110" t="s">
        <v>309</v>
      </c>
      <c r="C110">
        <v>4263</v>
      </c>
      <c r="D110">
        <f>VLOOKUP(表1_[[#This Row],[地区]],Sheet2!A:B,2,0)</f>
        <v>330000</v>
      </c>
      <c r="E110">
        <f>表1_[[#This Row],[年份]]+表1_[[#This Row],[行政区域]]</f>
        <v>332015</v>
      </c>
    </row>
    <row r="111" spans="1:5" x14ac:dyDescent="0.3">
      <c r="A111" t="s">
        <v>100</v>
      </c>
      <c r="B111" t="s">
        <v>310</v>
      </c>
      <c r="C111">
        <v>4303</v>
      </c>
      <c r="D111">
        <f>VLOOKUP(表1_[[#This Row],[地区]],Sheet2!A:B,2,0)</f>
        <v>330000</v>
      </c>
      <c r="E111">
        <f>表1_[[#This Row],[年份]]+表1_[[#This Row],[行政区域]]</f>
        <v>332014</v>
      </c>
    </row>
    <row r="112" spans="1:5" x14ac:dyDescent="0.3">
      <c r="A112" t="s">
        <v>110</v>
      </c>
      <c r="B112" t="s">
        <v>301</v>
      </c>
      <c r="C112">
        <v>15647</v>
      </c>
      <c r="D112">
        <f>VLOOKUP(表1_[[#This Row],[地区]],Sheet2!A:B,2,0)</f>
        <v>340000</v>
      </c>
      <c r="E112">
        <f>表1_[[#This Row],[年份]]+表1_[[#This Row],[行政区域]]</f>
        <v>342023</v>
      </c>
    </row>
    <row r="113" spans="1:5" x14ac:dyDescent="0.3">
      <c r="A113" t="s">
        <v>110</v>
      </c>
      <c r="B113" t="s">
        <v>302</v>
      </c>
      <c r="C113">
        <v>14159</v>
      </c>
      <c r="D113">
        <f>VLOOKUP(表1_[[#This Row],[地区]],Sheet2!A:B,2,0)</f>
        <v>340000</v>
      </c>
      <c r="E113">
        <f>表1_[[#This Row],[年份]]+表1_[[#This Row],[行政区域]]</f>
        <v>342022</v>
      </c>
    </row>
    <row r="114" spans="1:5" x14ac:dyDescent="0.3">
      <c r="A114" t="s">
        <v>110</v>
      </c>
      <c r="B114" t="s">
        <v>303</v>
      </c>
      <c r="C114">
        <v>13594</v>
      </c>
      <c r="D114">
        <f>VLOOKUP(表1_[[#This Row],[地区]],Sheet2!A:B,2,0)</f>
        <v>340000</v>
      </c>
      <c r="E114">
        <f>表1_[[#This Row],[年份]]+表1_[[#This Row],[行政区域]]</f>
        <v>342021</v>
      </c>
    </row>
    <row r="115" spans="1:5" x14ac:dyDescent="0.3">
      <c r="A115" t="s">
        <v>110</v>
      </c>
      <c r="B115" t="s">
        <v>304</v>
      </c>
      <c r="C115">
        <v>12026</v>
      </c>
      <c r="D115">
        <f>VLOOKUP(表1_[[#This Row],[地区]],Sheet2!A:B,2,0)</f>
        <v>340000</v>
      </c>
      <c r="E115">
        <f>表1_[[#This Row],[年份]]+表1_[[#This Row],[行政区域]]</f>
        <v>342020</v>
      </c>
    </row>
    <row r="116" spans="1:5" x14ac:dyDescent="0.3">
      <c r="A116" t="s">
        <v>110</v>
      </c>
      <c r="B116" t="s">
        <v>305</v>
      </c>
      <c r="C116">
        <v>13230</v>
      </c>
      <c r="D116">
        <f>VLOOKUP(表1_[[#This Row],[地区]],Sheet2!A:B,2,0)</f>
        <v>340000</v>
      </c>
      <c r="E116">
        <f>表1_[[#This Row],[年份]]+表1_[[#This Row],[行政区域]]</f>
        <v>342019</v>
      </c>
    </row>
    <row r="117" spans="1:5" x14ac:dyDescent="0.3">
      <c r="A117" t="s">
        <v>110</v>
      </c>
      <c r="B117" t="s">
        <v>306</v>
      </c>
      <c r="C117">
        <v>13271</v>
      </c>
      <c r="D117">
        <f>VLOOKUP(表1_[[#This Row],[地区]],Sheet2!A:B,2,0)</f>
        <v>340000</v>
      </c>
      <c r="E117">
        <f>表1_[[#This Row],[年份]]+表1_[[#This Row],[行政区域]]</f>
        <v>342018</v>
      </c>
    </row>
    <row r="118" spans="1:5" x14ac:dyDescent="0.3">
      <c r="A118" t="s">
        <v>110</v>
      </c>
      <c r="B118" t="s">
        <v>307</v>
      </c>
      <c r="C118">
        <v>12581</v>
      </c>
      <c r="D118">
        <f>VLOOKUP(表1_[[#This Row],[地区]],Sheet2!A:B,2,0)</f>
        <v>340000</v>
      </c>
      <c r="E118">
        <f>表1_[[#This Row],[年份]]+表1_[[#This Row],[行政区域]]</f>
        <v>342017</v>
      </c>
    </row>
    <row r="119" spans="1:5" x14ac:dyDescent="0.3">
      <c r="A119" t="s">
        <v>110</v>
      </c>
      <c r="B119" t="s">
        <v>308</v>
      </c>
      <c r="C119">
        <v>11872</v>
      </c>
      <c r="D119">
        <f>VLOOKUP(表1_[[#This Row],[地区]],Sheet2!A:B,2,0)</f>
        <v>340000</v>
      </c>
      <c r="E119">
        <f>表1_[[#This Row],[年份]]+表1_[[#This Row],[行政区域]]</f>
        <v>342016</v>
      </c>
    </row>
    <row r="120" spans="1:5" x14ac:dyDescent="0.3">
      <c r="A120" t="s">
        <v>110</v>
      </c>
      <c r="B120" t="s">
        <v>309</v>
      </c>
      <c r="C120">
        <v>11763</v>
      </c>
      <c r="D120">
        <f>VLOOKUP(表1_[[#This Row],[地区]],Sheet2!A:B,2,0)</f>
        <v>340000</v>
      </c>
      <c r="E120">
        <f>表1_[[#This Row],[年份]]+表1_[[#This Row],[行政区域]]</f>
        <v>342015</v>
      </c>
    </row>
    <row r="121" spans="1:5" x14ac:dyDescent="0.3">
      <c r="A121" t="s">
        <v>110</v>
      </c>
      <c r="B121" t="s">
        <v>310</v>
      </c>
      <c r="C121">
        <v>10466</v>
      </c>
      <c r="D121">
        <f>VLOOKUP(表1_[[#This Row],[地区]],Sheet2!A:B,2,0)</f>
        <v>340000</v>
      </c>
      <c r="E121">
        <f>表1_[[#This Row],[年份]]+表1_[[#This Row],[行政区域]]</f>
        <v>342014</v>
      </c>
    </row>
    <row r="122" spans="1:5" x14ac:dyDescent="0.3">
      <c r="A122" t="s">
        <v>120</v>
      </c>
      <c r="B122" t="s">
        <v>301</v>
      </c>
      <c r="C122">
        <v>6444</v>
      </c>
      <c r="D122">
        <f>VLOOKUP(表1_[[#This Row],[地区]],Sheet2!A:B,2,0)</f>
        <v>350000</v>
      </c>
      <c r="E122">
        <f>表1_[[#This Row],[年份]]+表1_[[#This Row],[行政区域]]</f>
        <v>352023</v>
      </c>
    </row>
    <row r="123" spans="1:5" x14ac:dyDescent="0.3">
      <c r="A123" t="s">
        <v>120</v>
      </c>
      <c r="B123" t="s">
        <v>302</v>
      </c>
      <c r="C123">
        <v>5671</v>
      </c>
      <c r="D123">
        <f>VLOOKUP(表1_[[#This Row],[地区]],Sheet2!A:B,2,0)</f>
        <v>350000</v>
      </c>
      <c r="E123">
        <f>表1_[[#This Row],[年份]]+表1_[[#This Row],[行政区域]]</f>
        <v>352022</v>
      </c>
    </row>
    <row r="124" spans="1:5" x14ac:dyDescent="0.3">
      <c r="A124" t="s">
        <v>120</v>
      </c>
      <c r="B124" t="s">
        <v>303</v>
      </c>
      <c r="C124">
        <v>5588</v>
      </c>
      <c r="D124">
        <f>VLOOKUP(表1_[[#This Row],[地区]],Sheet2!A:B,2,0)</f>
        <v>350000</v>
      </c>
      <c r="E124">
        <f>表1_[[#This Row],[年份]]+表1_[[#This Row],[行政区域]]</f>
        <v>352021</v>
      </c>
    </row>
    <row r="125" spans="1:5" x14ac:dyDescent="0.3">
      <c r="A125" t="s">
        <v>120</v>
      </c>
      <c r="B125" t="s">
        <v>304</v>
      </c>
      <c r="C125">
        <v>4016</v>
      </c>
      <c r="D125">
        <f>VLOOKUP(表1_[[#This Row],[地区]],Sheet2!A:B,2,0)</f>
        <v>350000</v>
      </c>
      <c r="E125">
        <f>表1_[[#This Row],[年份]]+表1_[[#This Row],[行政区域]]</f>
        <v>352020</v>
      </c>
    </row>
    <row r="126" spans="1:5" x14ac:dyDescent="0.3">
      <c r="A126" t="s">
        <v>120</v>
      </c>
      <c r="B126" t="s">
        <v>305</v>
      </c>
      <c r="C126">
        <v>6380</v>
      </c>
      <c r="D126">
        <f>VLOOKUP(表1_[[#This Row],[地区]],Sheet2!A:B,2,0)</f>
        <v>350000</v>
      </c>
      <c r="E126">
        <f>表1_[[#This Row],[年份]]+表1_[[#This Row],[行政区域]]</f>
        <v>352019</v>
      </c>
    </row>
    <row r="127" spans="1:5" x14ac:dyDescent="0.3">
      <c r="A127" t="s">
        <v>120</v>
      </c>
      <c r="B127" t="s">
        <v>306</v>
      </c>
      <c r="C127">
        <v>6029</v>
      </c>
      <c r="D127">
        <f>VLOOKUP(表1_[[#This Row],[地区]],Sheet2!A:B,2,0)</f>
        <v>350000</v>
      </c>
      <c r="E127">
        <f>表1_[[#This Row],[年份]]+表1_[[#This Row],[行政区域]]</f>
        <v>352018</v>
      </c>
    </row>
    <row r="128" spans="1:5" x14ac:dyDescent="0.3">
      <c r="A128" t="s">
        <v>120</v>
      </c>
      <c r="B128" t="s">
        <v>307</v>
      </c>
      <c r="C128">
        <v>5075</v>
      </c>
      <c r="D128">
        <f>VLOOKUP(表1_[[#This Row],[地区]],Sheet2!A:B,2,0)</f>
        <v>350000</v>
      </c>
      <c r="E128">
        <f>表1_[[#This Row],[年份]]+表1_[[#This Row],[行政区域]]</f>
        <v>352017</v>
      </c>
    </row>
    <row r="129" spans="1:5" x14ac:dyDescent="0.3">
      <c r="A129" t="s">
        <v>120</v>
      </c>
      <c r="B129" t="s">
        <v>308</v>
      </c>
      <c r="C129">
        <v>5458</v>
      </c>
      <c r="D129">
        <f>VLOOKUP(表1_[[#This Row],[地区]],Sheet2!A:B,2,0)</f>
        <v>350000</v>
      </c>
      <c r="E129">
        <f>表1_[[#This Row],[年份]]+表1_[[#This Row],[行政区域]]</f>
        <v>352016</v>
      </c>
    </row>
    <row r="130" spans="1:5" x14ac:dyDescent="0.3">
      <c r="A130" t="s">
        <v>120</v>
      </c>
      <c r="B130" t="s">
        <v>309</v>
      </c>
      <c r="C130">
        <v>3784</v>
      </c>
      <c r="D130">
        <f>VLOOKUP(表1_[[#This Row],[地区]],Sheet2!A:B,2,0)</f>
        <v>350000</v>
      </c>
      <c r="E130">
        <f>表1_[[#This Row],[年份]]+表1_[[#This Row],[行政区域]]</f>
        <v>352015</v>
      </c>
    </row>
    <row r="131" spans="1:5" x14ac:dyDescent="0.3">
      <c r="A131" t="s">
        <v>120</v>
      </c>
      <c r="B131" t="s">
        <v>310</v>
      </c>
      <c r="C131">
        <v>4278</v>
      </c>
      <c r="D131">
        <f>VLOOKUP(表1_[[#This Row],[地区]],Sheet2!A:B,2,0)</f>
        <v>350000</v>
      </c>
      <c r="E131">
        <f>表1_[[#This Row],[年份]]+表1_[[#This Row],[行政区域]]</f>
        <v>352014</v>
      </c>
    </row>
    <row r="132" spans="1:5" x14ac:dyDescent="0.3">
      <c r="A132" t="s">
        <v>130</v>
      </c>
      <c r="B132" t="s">
        <v>301</v>
      </c>
      <c r="C132">
        <v>6896</v>
      </c>
      <c r="D132">
        <f>VLOOKUP(表1_[[#This Row],[地区]],Sheet2!A:B,2,0)</f>
        <v>360000</v>
      </c>
      <c r="E132">
        <f>表1_[[#This Row],[年份]]+表1_[[#This Row],[行政区域]]</f>
        <v>362023</v>
      </c>
    </row>
    <row r="133" spans="1:5" x14ac:dyDescent="0.3">
      <c r="A133" t="s">
        <v>130</v>
      </c>
      <c r="B133" t="s">
        <v>302</v>
      </c>
      <c r="C133">
        <v>6286</v>
      </c>
      <c r="D133">
        <f>VLOOKUP(表1_[[#This Row],[地区]],Sheet2!A:B,2,0)</f>
        <v>360000</v>
      </c>
      <c r="E133">
        <f>表1_[[#This Row],[年份]]+表1_[[#This Row],[行政区域]]</f>
        <v>362022</v>
      </c>
    </row>
    <row r="134" spans="1:5" x14ac:dyDescent="0.3">
      <c r="A134" t="s">
        <v>130</v>
      </c>
      <c r="B134" t="s">
        <v>303</v>
      </c>
      <c r="C134">
        <v>5586</v>
      </c>
      <c r="D134">
        <f>VLOOKUP(表1_[[#This Row],[地区]],Sheet2!A:B,2,0)</f>
        <v>360000</v>
      </c>
      <c r="E134">
        <f>表1_[[#This Row],[年份]]+表1_[[#This Row],[行政区域]]</f>
        <v>362021</v>
      </c>
    </row>
    <row r="135" spans="1:5" x14ac:dyDescent="0.3">
      <c r="A135" t="s">
        <v>130</v>
      </c>
      <c r="B135" t="s">
        <v>304</v>
      </c>
      <c r="C135">
        <v>5498</v>
      </c>
      <c r="D135">
        <f>VLOOKUP(表1_[[#This Row],[地区]],Sheet2!A:B,2,0)</f>
        <v>360000</v>
      </c>
      <c r="E135">
        <f>表1_[[#This Row],[年份]]+表1_[[#This Row],[行政区域]]</f>
        <v>362020</v>
      </c>
    </row>
    <row r="136" spans="1:5" x14ac:dyDescent="0.3">
      <c r="A136" t="s">
        <v>130</v>
      </c>
      <c r="B136" t="s">
        <v>305</v>
      </c>
      <c r="C136">
        <v>6968</v>
      </c>
      <c r="D136">
        <f>VLOOKUP(表1_[[#This Row],[地区]],Sheet2!A:B,2,0)</f>
        <v>360000</v>
      </c>
      <c r="E136">
        <f>表1_[[#This Row],[年份]]+表1_[[#This Row],[行政区域]]</f>
        <v>362019</v>
      </c>
    </row>
    <row r="137" spans="1:5" x14ac:dyDescent="0.3">
      <c r="A137" t="s">
        <v>130</v>
      </c>
      <c r="B137" t="s">
        <v>306</v>
      </c>
      <c r="C137">
        <v>6047</v>
      </c>
      <c r="D137">
        <f>VLOOKUP(表1_[[#This Row],[地区]],Sheet2!A:B,2,0)</f>
        <v>360000</v>
      </c>
      <c r="E137">
        <f>表1_[[#This Row],[年份]]+表1_[[#This Row],[行政区域]]</f>
        <v>362018</v>
      </c>
    </row>
    <row r="138" spans="1:5" x14ac:dyDescent="0.3">
      <c r="A138" t="s">
        <v>130</v>
      </c>
      <c r="B138" t="s">
        <v>307</v>
      </c>
      <c r="C138">
        <v>5674</v>
      </c>
      <c r="D138">
        <f>VLOOKUP(表1_[[#This Row],[地区]],Sheet2!A:B,2,0)</f>
        <v>360000</v>
      </c>
      <c r="E138">
        <f>表1_[[#This Row],[年份]]+表1_[[#This Row],[行政区域]]</f>
        <v>362017</v>
      </c>
    </row>
    <row r="139" spans="1:5" x14ac:dyDescent="0.3">
      <c r="A139" t="s">
        <v>130</v>
      </c>
      <c r="B139" t="s">
        <v>308</v>
      </c>
      <c r="C139">
        <v>5244</v>
      </c>
      <c r="D139">
        <f>VLOOKUP(表1_[[#This Row],[地区]],Sheet2!A:B,2,0)</f>
        <v>360000</v>
      </c>
      <c r="E139">
        <f>表1_[[#This Row],[年份]]+表1_[[#This Row],[行政区域]]</f>
        <v>362016</v>
      </c>
    </row>
    <row r="140" spans="1:5" x14ac:dyDescent="0.3">
      <c r="A140" t="s">
        <v>130</v>
      </c>
      <c r="B140" t="s">
        <v>309</v>
      </c>
      <c r="C140">
        <v>6152</v>
      </c>
      <c r="D140">
        <f>VLOOKUP(表1_[[#This Row],[地区]],Sheet2!A:B,2,0)</f>
        <v>360000</v>
      </c>
      <c r="E140">
        <f>表1_[[#This Row],[年份]]+表1_[[#This Row],[行政区域]]</f>
        <v>362015</v>
      </c>
    </row>
    <row r="141" spans="1:5" x14ac:dyDescent="0.3">
      <c r="A141" t="s">
        <v>130</v>
      </c>
      <c r="B141" t="s">
        <v>310</v>
      </c>
      <c r="C141">
        <v>6121</v>
      </c>
      <c r="D141">
        <f>VLOOKUP(表1_[[#This Row],[地区]],Sheet2!A:B,2,0)</f>
        <v>360000</v>
      </c>
      <c r="E141">
        <f>表1_[[#This Row],[年份]]+表1_[[#This Row],[行政区域]]</f>
        <v>362014</v>
      </c>
    </row>
    <row r="142" spans="1:5" x14ac:dyDescent="0.3">
      <c r="A142" t="s">
        <v>140</v>
      </c>
      <c r="B142" t="s">
        <v>301</v>
      </c>
      <c r="C142">
        <v>21943</v>
      </c>
      <c r="D142">
        <f>VLOOKUP(表1_[[#This Row],[地区]],Sheet2!A:B,2,0)</f>
        <v>370000</v>
      </c>
      <c r="E142">
        <f>表1_[[#This Row],[年份]]+表1_[[#This Row],[行政区域]]</f>
        <v>372023</v>
      </c>
    </row>
    <row r="143" spans="1:5" x14ac:dyDescent="0.3">
      <c r="A143" t="s">
        <v>140</v>
      </c>
      <c r="B143" t="s">
        <v>302</v>
      </c>
      <c r="C143">
        <v>20079</v>
      </c>
      <c r="D143">
        <f>VLOOKUP(表1_[[#This Row],[地区]],Sheet2!A:B,2,0)</f>
        <v>370000</v>
      </c>
      <c r="E143">
        <f>表1_[[#This Row],[年份]]+表1_[[#This Row],[行政区域]]</f>
        <v>372022</v>
      </c>
    </row>
    <row r="144" spans="1:5" x14ac:dyDescent="0.3">
      <c r="A144" t="s">
        <v>140</v>
      </c>
      <c r="B144" t="s">
        <v>303</v>
      </c>
      <c r="C144">
        <v>20027</v>
      </c>
      <c r="D144">
        <f>VLOOKUP(表1_[[#This Row],[地区]],Sheet2!A:B,2,0)</f>
        <v>370000</v>
      </c>
      <c r="E144">
        <f>表1_[[#This Row],[年份]]+表1_[[#This Row],[行政区域]]</f>
        <v>372021</v>
      </c>
    </row>
    <row r="145" spans="1:5" x14ac:dyDescent="0.3">
      <c r="A145" t="s">
        <v>140</v>
      </c>
      <c r="B145" t="s">
        <v>304</v>
      </c>
      <c r="C145">
        <v>19612</v>
      </c>
      <c r="D145">
        <f>VLOOKUP(表1_[[#This Row],[地区]],Sheet2!A:B,2,0)</f>
        <v>370000</v>
      </c>
      <c r="E145">
        <f>表1_[[#This Row],[年份]]+表1_[[#This Row],[行政区域]]</f>
        <v>372020</v>
      </c>
    </row>
    <row r="146" spans="1:5" x14ac:dyDescent="0.3">
      <c r="A146" t="s">
        <v>140</v>
      </c>
      <c r="B146" t="s">
        <v>305</v>
      </c>
      <c r="C146">
        <v>25230</v>
      </c>
      <c r="D146">
        <f>VLOOKUP(表1_[[#This Row],[地区]],Sheet2!A:B,2,0)</f>
        <v>370000</v>
      </c>
      <c r="E146">
        <f>表1_[[#This Row],[年份]]+表1_[[#This Row],[行政区域]]</f>
        <v>372019</v>
      </c>
    </row>
    <row r="147" spans="1:5" x14ac:dyDescent="0.3">
      <c r="A147" t="s">
        <v>140</v>
      </c>
      <c r="B147" t="s">
        <v>306</v>
      </c>
      <c r="C147">
        <v>23831</v>
      </c>
      <c r="D147">
        <f>VLOOKUP(表1_[[#This Row],[地区]],Sheet2!A:B,2,0)</f>
        <v>370000</v>
      </c>
      <c r="E147">
        <f>表1_[[#This Row],[年份]]+表1_[[#This Row],[行政区域]]</f>
        <v>372018</v>
      </c>
    </row>
    <row r="148" spans="1:5" x14ac:dyDescent="0.3">
      <c r="A148" t="s">
        <v>140</v>
      </c>
      <c r="B148" t="s">
        <v>307</v>
      </c>
      <c r="C148">
        <v>23152</v>
      </c>
      <c r="D148">
        <f>VLOOKUP(表1_[[#This Row],[地区]],Sheet2!A:B,2,0)</f>
        <v>370000</v>
      </c>
      <c r="E148">
        <f>表1_[[#This Row],[年份]]+表1_[[#This Row],[行政区域]]</f>
        <v>372017</v>
      </c>
    </row>
    <row r="149" spans="1:5" x14ac:dyDescent="0.3">
      <c r="A149" t="s">
        <v>140</v>
      </c>
      <c r="B149" t="s">
        <v>308</v>
      </c>
      <c r="C149">
        <v>22314</v>
      </c>
      <c r="D149">
        <f>VLOOKUP(表1_[[#This Row],[地区]],Sheet2!A:B,2,0)</f>
        <v>370000</v>
      </c>
      <c r="E149">
        <f>表1_[[#This Row],[年份]]+表1_[[#This Row],[行政区域]]</f>
        <v>372016</v>
      </c>
    </row>
    <row r="150" spans="1:5" x14ac:dyDescent="0.3">
      <c r="A150" t="s">
        <v>140</v>
      </c>
      <c r="B150" t="s">
        <v>309</v>
      </c>
      <c r="C150">
        <v>18309</v>
      </c>
      <c r="D150">
        <f>VLOOKUP(表1_[[#This Row],[地区]],Sheet2!A:B,2,0)</f>
        <v>370000</v>
      </c>
      <c r="E150">
        <f>表1_[[#This Row],[年份]]+表1_[[#This Row],[行政区域]]</f>
        <v>372015</v>
      </c>
    </row>
    <row r="151" spans="1:5" x14ac:dyDescent="0.3">
      <c r="A151" t="s">
        <v>140</v>
      </c>
      <c r="B151" t="s">
        <v>310</v>
      </c>
      <c r="C151">
        <v>18380</v>
      </c>
      <c r="D151">
        <f>VLOOKUP(表1_[[#This Row],[地区]],Sheet2!A:B,2,0)</f>
        <v>370000</v>
      </c>
      <c r="E151">
        <f>表1_[[#This Row],[年份]]+表1_[[#This Row],[行政区域]]</f>
        <v>372014</v>
      </c>
    </row>
    <row r="152" spans="1:5" x14ac:dyDescent="0.3">
      <c r="A152" t="s">
        <v>150</v>
      </c>
      <c r="B152" t="s">
        <v>301</v>
      </c>
      <c r="C152">
        <v>15042</v>
      </c>
      <c r="D152">
        <f>VLOOKUP(表1_[[#This Row],[地区]],Sheet2!A:B,2,0)</f>
        <v>410000</v>
      </c>
      <c r="E152">
        <f>表1_[[#This Row],[年份]]+表1_[[#This Row],[行政区域]]</f>
        <v>412023</v>
      </c>
    </row>
    <row r="153" spans="1:5" x14ac:dyDescent="0.3">
      <c r="A153" t="s">
        <v>150</v>
      </c>
      <c r="B153" t="s">
        <v>302</v>
      </c>
      <c r="C153">
        <v>14558</v>
      </c>
      <c r="D153">
        <f>VLOOKUP(表1_[[#This Row],[地区]],Sheet2!A:B,2,0)</f>
        <v>410000</v>
      </c>
      <c r="E153">
        <f>表1_[[#This Row],[年份]]+表1_[[#This Row],[行政区域]]</f>
        <v>412022</v>
      </c>
    </row>
    <row r="154" spans="1:5" x14ac:dyDescent="0.3">
      <c r="A154" t="s">
        <v>150</v>
      </c>
      <c r="B154" t="s">
        <v>303</v>
      </c>
      <c r="C154">
        <v>13061</v>
      </c>
      <c r="D154">
        <f>VLOOKUP(表1_[[#This Row],[地区]],Sheet2!A:B,2,0)</f>
        <v>410000</v>
      </c>
      <c r="E154">
        <f>表1_[[#This Row],[年份]]+表1_[[#This Row],[行政区域]]</f>
        <v>412021</v>
      </c>
    </row>
    <row r="155" spans="1:5" x14ac:dyDescent="0.3">
      <c r="A155" t="s">
        <v>150</v>
      </c>
      <c r="B155" t="s">
        <v>304</v>
      </c>
      <c r="C155">
        <v>11468</v>
      </c>
      <c r="D155">
        <f>VLOOKUP(表1_[[#This Row],[地区]],Sheet2!A:B,2,0)</f>
        <v>410000</v>
      </c>
      <c r="E155">
        <f>表1_[[#This Row],[年份]]+表1_[[#This Row],[行政区域]]</f>
        <v>412020</v>
      </c>
    </row>
    <row r="156" spans="1:5" x14ac:dyDescent="0.3">
      <c r="A156" t="s">
        <v>150</v>
      </c>
      <c r="B156" t="s">
        <v>305</v>
      </c>
      <c r="C156">
        <v>11976</v>
      </c>
      <c r="D156">
        <f>VLOOKUP(表1_[[#This Row],[地区]],Sheet2!A:B,2,0)</f>
        <v>410000</v>
      </c>
      <c r="E156">
        <f>表1_[[#This Row],[年份]]+表1_[[#This Row],[行政区域]]</f>
        <v>412019</v>
      </c>
    </row>
    <row r="157" spans="1:5" x14ac:dyDescent="0.3">
      <c r="A157" t="s">
        <v>150</v>
      </c>
      <c r="B157" t="s">
        <v>306</v>
      </c>
      <c r="C157">
        <v>11755</v>
      </c>
      <c r="D157">
        <f>VLOOKUP(表1_[[#This Row],[地区]],Sheet2!A:B,2,0)</f>
        <v>410000</v>
      </c>
      <c r="E157">
        <f>表1_[[#This Row],[年份]]+表1_[[#This Row],[行政区域]]</f>
        <v>412018</v>
      </c>
    </row>
    <row r="158" spans="1:5" x14ac:dyDescent="0.3">
      <c r="A158" t="s">
        <v>150</v>
      </c>
      <c r="B158" t="s">
        <v>307</v>
      </c>
      <c r="C158">
        <v>10204</v>
      </c>
      <c r="D158">
        <f>VLOOKUP(表1_[[#This Row],[地区]],Sheet2!A:B,2,0)</f>
        <v>410000</v>
      </c>
      <c r="E158">
        <f>表1_[[#This Row],[年份]]+表1_[[#This Row],[行政区域]]</f>
        <v>412017</v>
      </c>
    </row>
    <row r="159" spans="1:5" x14ac:dyDescent="0.3">
      <c r="A159" t="s">
        <v>150</v>
      </c>
      <c r="B159" t="s">
        <v>308</v>
      </c>
      <c r="C159">
        <v>10548</v>
      </c>
      <c r="D159">
        <f>VLOOKUP(表1_[[#This Row],[地区]],Sheet2!A:B,2,0)</f>
        <v>410000</v>
      </c>
      <c r="E159">
        <f>表1_[[#This Row],[年份]]+表1_[[#This Row],[行政区域]]</f>
        <v>412016</v>
      </c>
    </row>
    <row r="160" spans="1:5" x14ac:dyDescent="0.3">
      <c r="A160" t="s">
        <v>150</v>
      </c>
      <c r="B160" t="s">
        <v>309</v>
      </c>
      <c r="C160">
        <v>11456</v>
      </c>
      <c r="D160">
        <f>VLOOKUP(表1_[[#This Row],[地区]],Sheet2!A:B,2,0)</f>
        <v>410000</v>
      </c>
      <c r="E160">
        <f>表1_[[#This Row],[年份]]+表1_[[#This Row],[行政区域]]</f>
        <v>412015</v>
      </c>
    </row>
    <row r="161" spans="1:5" x14ac:dyDescent="0.3">
      <c r="A161" t="s">
        <v>150</v>
      </c>
      <c r="B161" t="s">
        <v>310</v>
      </c>
      <c r="C161">
        <v>12319</v>
      </c>
      <c r="D161">
        <f>VLOOKUP(表1_[[#This Row],[地区]],Sheet2!A:B,2,0)</f>
        <v>410000</v>
      </c>
      <c r="E161">
        <f>表1_[[#This Row],[年份]]+表1_[[#This Row],[行政区域]]</f>
        <v>412014</v>
      </c>
    </row>
    <row r="162" spans="1:5" x14ac:dyDescent="0.3">
      <c r="A162" t="s">
        <v>160</v>
      </c>
      <c r="B162" t="s">
        <v>301</v>
      </c>
      <c r="C162">
        <v>8310</v>
      </c>
      <c r="D162">
        <f>VLOOKUP(表1_[[#This Row],[地区]],Sheet2!A:B,2,0)</f>
        <v>420000</v>
      </c>
      <c r="E162">
        <f>表1_[[#This Row],[年份]]+表1_[[#This Row],[行政区域]]</f>
        <v>422023</v>
      </c>
    </row>
    <row r="163" spans="1:5" x14ac:dyDescent="0.3">
      <c r="A163" t="s">
        <v>160</v>
      </c>
      <c r="B163" t="s">
        <v>302</v>
      </c>
      <c r="C163">
        <v>7847</v>
      </c>
      <c r="D163">
        <f>VLOOKUP(表1_[[#This Row],[地区]],Sheet2!A:B,2,0)</f>
        <v>420000</v>
      </c>
      <c r="E163">
        <f>表1_[[#This Row],[年份]]+表1_[[#This Row],[行政区域]]</f>
        <v>422022</v>
      </c>
    </row>
    <row r="164" spans="1:5" x14ac:dyDescent="0.3">
      <c r="A164" t="s">
        <v>160</v>
      </c>
      <c r="B164" t="s">
        <v>303</v>
      </c>
      <c r="C164">
        <v>6843</v>
      </c>
      <c r="D164">
        <f>VLOOKUP(表1_[[#This Row],[地区]],Sheet2!A:B,2,0)</f>
        <v>420000</v>
      </c>
      <c r="E164">
        <f>表1_[[#This Row],[年份]]+表1_[[#This Row],[行政区域]]</f>
        <v>422021</v>
      </c>
    </row>
    <row r="165" spans="1:5" x14ac:dyDescent="0.3">
      <c r="A165" t="s">
        <v>160</v>
      </c>
      <c r="B165" t="s">
        <v>304</v>
      </c>
      <c r="C165">
        <v>6178</v>
      </c>
      <c r="D165">
        <f>VLOOKUP(表1_[[#This Row],[地区]],Sheet2!A:B,2,0)</f>
        <v>420000</v>
      </c>
      <c r="E165">
        <f>表1_[[#This Row],[年份]]+表1_[[#This Row],[行政区域]]</f>
        <v>422020</v>
      </c>
    </row>
    <row r="166" spans="1:5" x14ac:dyDescent="0.3">
      <c r="A166" t="s">
        <v>160</v>
      </c>
      <c r="B166" t="s">
        <v>305</v>
      </c>
      <c r="C166">
        <v>10060</v>
      </c>
      <c r="D166">
        <f>VLOOKUP(表1_[[#This Row],[地区]],Sheet2!A:B,2,0)</f>
        <v>420000</v>
      </c>
      <c r="E166">
        <f>表1_[[#This Row],[年份]]+表1_[[#This Row],[行政区域]]</f>
        <v>422019</v>
      </c>
    </row>
    <row r="167" spans="1:5" x14ac:dyDescent="0.3">
      <c r="A167" t="s">
        <v>160</v>
      </c>
      <c r="B167" t="s">
        <v>306</v>
      </c>
      <c r="C167">
        <v>8437</v>
      </c>
      <c r="D167">
        <f>VLOOKUP(表1_[[#This Row],[地区]],Sheet2!A:B,2,0)</f>
        <v>420000</v>
      </c>
      <c r="E167">
        <f>表1_[[#This Row],[年份]]+表1_[[#This Row],[行政区域]]</f>
        <v>422018</v>
      </c>
    </row>
    <row r="168" spans="1:5" x14ac:dyDescent="0.3">
      <c r="A168" t="s">
        <v>160</v>
      </c>
      <c r="B168" t="s">
        <v>307</v>
      </c>
      <c r="C168">
        <v>7336</v>
      </c>
      <c r="D168">
        <f>VLOOKUP(表1_[[#This Row],[地区]],Sheet2!A:B,2,0)</f>
        <v>420000</v>
      </c>
      <c r="E168">
        <f>表1_[[#This Row],[年份]]+表1_[[#This Row],[行政区域]]</f>
        <v>422017</v>
      </c>
    </row>
    <row r="169" spans="1:5" x14ac:dyDescent="0.3">
      <c r="A169" t="s">
        <v>160</v>
      </c>
      <c r="B169" t="s">
        <v>308</v>
      </c>
      <c r="C169">
        <v>7429</v>
      </c>
      <c r="D169">
        <f>VLOOKUP(表1_[[#This Row],[地区]],Sheet2!A:B,2,0)</f>
        <v>420000</v>
      </c>
      <c r="E169">
        <f>表1_[[#This Row],[年份]]+表1_[[#This Row],[行政区域]]</f>
        <v>422016</v>
      </c>
    </row>
    <row r="170" spans="1:5" x14ac:dyDescent="0.3">
      <c r="A170" t="s">
        <v>160</v>
      </c>
      <c r="B170" t="s">
        <v>309</v>
      </c>
      <c r="C170">
        <v>5253</v>
      </c>
      <c r="D170">
        <f>VLOOKUP(表1_[[#This Row],[地区]],Sheet2!A:B,2,0)</f>
        <v>420000</v>
      </c>
      <c r="E170">
        <f>表1_[[#This Row],[年份]]+表1_[[#This Row],[行政区域]]</f>
        <v>422015</v>
      </c>
    </row>
    <row r="171" spans="1:5" x14ac:dyDescent="0.3">
      <c r="A171" t="s">
        <v>160</v>
      </c>
      <c r="B171" t="s">
        <v>310</v>
      </c>
      <c r="C171">
        <v>6139</v>
      </c>
      <c r="D171">
        <f>VLOOKUP(表1_[[#This Row],[地区]],Sheet2!A:B,2,0)</f>
        <v>420000</v>
      </c>
      <c r="E171">
        <f>表1_[[#This Row],[年份]]+表1_[[#This Row],[行政区域]]</f>
        <v>422014</v>
      </c>
    </row>
    <row r="172" spans="1:5" x14ac:dyDescent="0.3">
      <c r="A172" t="s">
        <v>170</v>
      </c>
      <c r="B172" t="s">
        <v>301</v>
      </c>
      <c r="C172">
        <v>3769</v>
      </c>
      <c r="D172">
        <f>VLOOKUP(表1_[[#This Row],[地区]],Sheet2!A:B,2,0)</f>
        <v>430000</v>
      </c>
      <c r="E172">
        <f>表1_[[#This Row],[年份]]+表1_[[#This Row],[行政区域]]</f>
        <v>432023</v>
      </c>
    </row>
    <row r="173" spans="1:5" x14ac:dyDescent="0.3">
      <c r="A173" t="s">
        <v>170</v>
      </c>
      <c r="B173" t="s">
        <v>302</v>
      </c>
      <c r="C173">
        <v>3729</v>
      </c>
      <c r="D173">
        <f>VLOOKUP(表1_[[#This Row],[地区]],Sheet2!A:B,2,0)</f>
        <v>430000</v>
      </c>
      <c r="E173">
        <f>表1_[[#This Row],[年份]]+表1_[[#This Row],[行政区域]]</f>
        <v>432022</v>
      </c>
    </row>
    <row r="174" spans="1:5" x14ac:dyDescent="0.3">
      <c r="A174" t="s">
        <v>170</v>
      </c>
      <c r="B174" t="s">
        <v>303</v>
      </c>
      <c r="C174">
        <v>3748</v>
      </c>
      <c r="D174">
        <f>VLOOKUP(表1_[[#This Row],[地区]],Sheet2!A:B,2,0)</f>
        <v>430000</v>
      </c>
      <c r="E174">
        <f>表1_[[#This Row],[年份]]+表1_[[#This Row],[行政区域]]</f>
        <v>432021</v>
      </c>
    </row>
    <row r="175" spans="1:5" x14ac:dyDescent="0.3">
      <c r="A175" t="s">
        <v>170</v>
      </c>
      <c r="B175" t="s">
        <v>304</v>
      </c>
      <c r="C175">
        <v>3270</v>
      </c>
      <c r="D175">
        <f>VLOOKUP(表1_[[#This Row],[地区]],Sheet2!A:B,2,0)</f>
        <v>430000</v>
      </c>
      <c r="E175">
        <f>表1_[[#This Row],[年份]]+表1_[[#This Row],[行政区域]]</f>
        <v>432020</v>
      </c>
    </row>
    <row r="176" spans="1:5" x14ac:dyDescent="0.3">
      <c r="A176" t="s">
        <v>170</v>
      </c>
      <c r="B176" t="s">
        <v>305</v>
      </c>
      <c r="C176">
        <v>5206</v>
      </c>
      <c r="D176">
        <f>VLOOKUP(表1_[[#This Row],[地区]],Sheet2!A:B,2,0)</f>
        <v>430000</v>
      </c>
      <c r="E176">
        <f>表1_[[#This Row],[年份]]+表1_[[#This Row],[行政区域]]</f>
        <v>432019</v>
      </c>
    </row>
    <row r="177" spans="1:5" x14ac:dyDescent="0.3">
      <c r="A177" t="s">
        <v>170</v>
      </c>
      <c r="B177" t="s">
        <v>306</v>
      </c>
      <c r="C177">
        <v>4555</v>
      </c>
      <c r="D177">
        <f>VLOOKUP(表1_[[#This Row],[地区]],Sheet2!A:B,2,0)</f>
        <v>430000</v>
      </c>
      <c r="E177">
        <f>表1_[[#This Row],[年份]]+表1_[[#This Row],[行政区域]]</f>
        <v>432018</v>
      </c>
    </row>
    <row r="178" spans="1:5" x14ac:dyDescent="0.3">
      <c r="A178" t="s">
        <v>170</v>
      </c>
      <c r="B178" t="s">
        <v>307</v>
      </c>
      <c r="C178">
        <v>4460</v>
      </c>
      <c r="D178">
        <f>VLOOKUP(表1_[[#This Row],[地区]],Sheet2!A:B,2,0)</f>
        <v>430000</v>
      </c>
      <c r="E178">
        <f>表1_[[#This Row],[年份]]+表1_[[#This Row],[行政区域]]</f>
        <v>432017</v>
      </c>
    </row>
    <row r="179" spans="1:5" x14ac:dyDescent="0.3">
      <c r="A179" t="s">
        <v>170</v>
      </c>
      <c r="B179" t="s">
        <v>308</v>
      </c>
      <c r="C179">
        <v>4031</v>
      </c>
      <c r="D179">
        <f>VLOOKUP(表1_[[#This Row],[地区]],Sheet2!A:B,2,0)</f>
        <v>430000</v>
      </c>
      <c r="E179">
        <f>表1_[[#This Row],[年份]]+表1_[[#This Row],[行政区域]]</f>
        <v>432016</v>
      </c>
    </row>
    <row r="180" spans="1:5" x14ac:dyDescent="0.3">
      <c r="A180" t="s">
        <v>170</v>
      </c>
      <c r="B180" t="s">
        <v>309</v>
      </c>
      <c r="C180">
        <v>4683</v>
      </c>
      <c r="D180">
        <f>VLOOKUP(表1_[[#This Row],[地区]],Sheet2!A:B,2,0)</f>
        <v>430000</v>
      </c>
      <c r="E180">
        <f>表1_[[#This Row],[年份]]+表1_[[#This Row],[行政区域]]</f>
        <v>432015</v>
      </c>
    </row>
    <row r="181" spans="1:5" x14ac:dyDescent="0.3">
      <c r="A181" t="s">
        <v>170</v>
      </c>
      <c r="B181" t="s">
        <v>310</v>
      </c>
      <c r="C181">
        <v>4410</v>
      </c>
      <c r="D181">
        <f>VLOOKUP(表1_[[#This Row],[地区]],Sheet2!A:B,2,0)</f>
        <v>430000</v>
      </c>
      <c r="E181">
        <f>表1_[[#This Row],[年份]]+表1_[[#This Row],[行政区域]]</f>
        <v>432014</v>
      </c>
    </row>
    <row r="182" spans="1:5" x14ac:dyDescent="0.3">
      <c r="A182" t="s">
        <v>180</v>
      </c>
      <c r="B182" t="s">
        <v>301</v>
      </c>
      <c r="C182">
        <v>7589</v>
      </c>
      <c r="D182">
        <f>VLOOKUP(表1_[[#This Row],[地区]],Sheet2!A:B,2,0)</f>
        <v>440000</v>
      </c>
      <c r="E182">
        <f>表1_[[#This Row],[年份]]+表1_[[#This Row],[行政区域]]</f>
        <v>442023</v>
      </c>
    </row>
    <row r="183" spans="1:5" x14ac:dyDescent="0.3">
      <c r="A183" t="s">
        <v>180</v>
      </c>
      <c r="B183" t="s">
        <v>302</v>
      </c>
      <c r="C183">
        <v>7135</v>
      </c>
      <c r="D183">
        <f>VLOOKUP(表1_[[#This Row],[地区]],Sheet2!A:B,2,0)</f>
        <v>440000</v>
      </c>
      <c r="E183">
        <f>表1_[[#This Row],[年份]]+表1_[[#This Row],[行政区域]]</f>
        <v>442022</v>
      </c>
    </row>
    <row r="184" spans="1:5" x14ac:dyDescent="0.3">
      <c r="A184" t="s">
        <v>180</v>
      </c>
      <c r="B184" t="s">
        <v>303</v>
      </c>
      <c r="C184">
        <v>6652</v>
      </c>
      <c r="D184">
        <f>VLOOKUP(表1_[[#This Row],[地区]],Sheet2!A:B,2,0)</f>
        <v>440000</v>
      </c>
      <c r="E184">
        <f>表1_[[#This Row],[年份]]+表1_[[#This Row],[行政区域]]</f>
        <v>442021</v>
      </c>
    </row>
    <row r="185" spans="1:5" x14ac:dyDescent="0.3">
      <c r="A185" t="s">
        <v>180</v>
      </c>
      <c r="B185" t="s">
        <v>304</v>
      </c>
      <c r="C185">
        <v>5631</v>
      </c>
      <c r="D185">
        <f>VLOOKUP(表1_[[#This Row],[地区]],Sheet2!A:B,2,0)</f>
        <v>440000</v>
      </c>
      <c r="E185">
        <f>表1_[[#This Row],[年份]]+表1_[[#This Row],[行政区域]]</f>
        <v>442020</v>
      </c>
    </row>
    <row r="186" spans="1:5" x14ac:dyDescent="0.3">
      <c r="A186" t="s">
        <v>180</v>
      </c>
      <c r="B186" t="s">
        <v>305</v>
      </c>
      <c r="C186">
        <v>7331</v>
      </c>
      <c r="D186">
        <f>VLOOKUP(表1_[[#This Row],[地区]],Sheet2!A:B,2,0)</f>
        <v>440000</v>
      </c>
      <c r="E186">
        <f>表1_[[#This Row],[年份]]+表1_[[#This Row],[行政区域]]</f>
        <v>442019</v>
      </c>
    </row>
    <row r="187" spans="1:5" x14ac:dyDescent="0.3">
      <c r="A187" t="s">
        <v>180</v>
      </c>
      <c r="B187" t="s">
        <v>306</v>
      </c>
      <c r="C187">
        <v>7283</v>
      </c>
      <c r="D187">
        <f>VLOOKUP(表1_[[#This Row],[地区]],Sheet2!A:B,2,0)</f>
        <v>440000</v>
      </c>
      <c r="E187">
        <f>表1_[[#This Row],[年份]]+表1_[[#This Row],[行政区域]]</f>
        <v>442018</v>
      </c>
    </row>
    <row r="188" spans="1:5" x14ac:dyDescent="0.3">
      <c r="A188" t="s">
        <v>180</v>
      </c>
      <c r="B188" t="s">
        <v>307</v>
      </c>
      <c r="C188">
        <v>6734</v>
      </c>
      <c r="D188">
        <f>VLOOKUP(表1_[[#This Row],[地区]],Sheet2!A:B,2,0)</f>
        <v>440000</v>
      </c>
      <c r="E188">
        <f>表1_[[#This Row],[年份]]+表1_[[#This Row],[行政区域]]</f>
        <v>442017</v>
      </c>
    </row>
    <row r="189" spans="1:5" x14ac:dyDescent="0.3">
      <c r="A189" t="s">
        <v>180</v>
      </c>
      <c r="B189" t="s">
        <v>308</v>
      </c>
      <c r="C189">
        <v>6997</v>
      </c>
      <c r="D189">
        <f>VLOOKUP(表1_[[#This Row],[地区]],Sheet2!A:B,2,0)</f>
        <v>440000</v>
      </c>
      <c r="E189">
        <f>表1_[[#This Row],[年份]]+表1_[[#This Row],[行政区域]]</f>
        <v>442016</v>
      </c>
    </row>
    <row r="190" spans="1:5" x14ac:dyDescent="0.3">
      <c r="A190" t="s">
        <v>180</v>
      </c>
      <c r="B190" t="s">
        <v>309</v>
      </c>
      <c r="C190">
        <v>5103</v>
      </c>
      <c r="D190">
        <f>VLOOKUP(表1_[[#This Row],[地区]],Sheet2!A:B,2,0)</f>
        <v>440000</v>
      </c>
      <c r="E190">
        <f>表1_[[#This Row],[年份]]+表1_[[#This Row],[行政区域]]</f>
        <v>442015</v>
      </c>
    </row>
    <row r="191" spans="1:5" x14ac:dyDescent="0.3">
      <c r="A191" t="s">
        <v>180</v>
      </c>
      <c r="B191" t="s">
        <v>310</v>
      </c>
      <c r="C191">
        <v>4893</v>
      </c>
      <c r="D191">
        <f>VLOOKUP(表1_[[#This Row],[地区]],Sheet2!A:B,2,0)</f>
        <v>440000</v>
      </c>
      <c r="E191">
        <f>表1_[[#This Row],[年份]]+表1_[[#This Row],[行政区域]]</f>
        <v>442014</v>
      </c>
    </row>
    <row r="192" spans="1:5" x14ac:dyDescent="0.3">
      <c r="A192" t="s">
        <v>190</v>
      </c>
      <c r="B192" t="s">
        <v>301</v>
      </c>
      <c r="C192">
        <v>6303</v>
      </c>
      <c r="D192">
        <f>VLOOKUP(表1_[[#This Row],[地区]],Sheet2!A:B,2,0)</f>
        <v>450000</v>
      </c>
      <c r="E192">
        <f>表1_[[#This Row],[年份]]+表1_[[#This Row],[行政区域]]</f>
        <v>452023</v>
      </c>
    </row>
    <row r="193" spans="1:5" x14ac:dyDescent="0.3">
      <c r="A193" t="s">
        <v>190</v>
      </c>
      <c r="B193" t="s">
        <v>302</v>
      </c>
      <c r="C193">
        <v>5227</v>
      </c>
      <c r="D193">
        <f>VLOOKUP(表1_[[#This Row],[地区]],Sheet2!A:B,2,0)</f>
        <v>450000</v>
      </c>
      <c r="E193">
        <f>表1_[[#This Row],[年份]]+表1_[[#This Row],[行政区域]]</f>
        <v>452022</v>
      </c>
    </row>
    <row r="194" spans="1:5" x14ac:dyDescent="0.3">
      <c r="A194" t="s">
        <v>190</v>
      </c>
      <c r="B194" t="s">
        <v>303</v>
      </c>
      <c r="C194">
        <v>4296</v>
      </c>
      <c r="D194">
        <f>VLOOKUP(表1_[[#This Row],[地区]],Sheet2!A:B,2,0)</f>
        <v>450000</v>
      </c>
      <c r="E194">
        <f>表1_[[#This Row],[年份]]+表1_[[#This Row],[行政区域]]</f>
        <v>452021</v>
      </c>
    </row>
    <row r="195" spans="1:5" x14ac:dyDescent="0.3">
      <c r="A195" t="s">
        <v>190</v>
      </c>
      <c r="B195" t="s">
        <v>304</v>
      </c>
      <c r="C195">
        <v>4389</v>
      </c>
      <c r="D195">
        <f>VLOOKUP(表1_[[#This Row],[地区]],Sheet2!A:B,2,0)</f>
        <v>450000</v>
      </c>
      <c r="E195">
        <f>表1_[[#This Row],[年份]]+表1_[[#This Row],[行政区域]]</f>
        <v>452020</v>
      </c>
    </row>
    <row r="196" spans="1:5" x14ac:dyDescent="0.3">
      <c r="A196" t="s">
        <v>190</v>
      </c>
      <c r="B196" t="s">
        <v>305</v>
      </c>
      <c r="C196">
        <v>5408</v>
      </c>
      <c r="D196">
        <f>VLOOKUP(表1_[[#This Row],[地区]],Sheet2!A:B,2,0)</f>
        <v>450000</v>
      </c>
      <c r="E196">
        <f>表1_[[#This Row],[年份]]+表1_[[#This Row],[行政区域]]</f>
        <v>452019</v>
      </c>
    </row>
    <row r="197" spans="1:5" x14ac:dyDescent="0.3">
      <c r="A197" t="s">
        <v>190</v>
      </c>
      <c r="B197" t="s">
        <v>306</v>
      </c>
      <c r="C197">
        <v>4799</v>
      </c>
      <c r="D197">
        <f>VLOOKUP(表1_[[#This Row],[地区]],Sheet2!A:B,2,0)</f>
        <v>450000</v>
      </c>
      <c r="E197">
        <f>表1_[[#This Row],[年份]]+表1_[[#This Row],[行政区域]]</f>
        <v>452018</v>
      </c>
    </row>
    <row r="198" spans="1:5" x14ac:dyDescent="0.3">
      <c r="A198" t="s">
        <v>190</v>
      </c>
      <c r="B198" t="s">
        <v>307</v>
      </c>
      <c r="C198">
        <v>4765</v>
      </c>
      <c r="D198">
        <f>VLOOKUP(表1_[[#This Row],[地区]],Sheet2!A:B,2,0)</f>
        <v>450000</v>
      </c>
      <c r="E198">
        <f>表1_[[#This Row],[年份]]+表1_[[#This Row],[行政区域]]</f>
        <v>452017</v>
      </c>
    </row>
    <row r="199" spans="1:5" x14ac:dyDescent="0.3">
      <c r="A199" t="s">
        <v>190</v>
      </c>
      <c r="B199" t="s">
        <v>308</v>
      </c>
      <c r="C199">
        <v>4791</v>
      </c>
      <c r="D199">
        <f>VLOOKUP(表1_[[#This Row],[地区]],Sheet2!A:B,2,0)</f>
        <v>450000</v>
      </c>
      <c r="E199">
        <f>表1_[[#This Row],[年份]]+表1_[[#This Row],[行政区域]]</f>
        <v>452016</v>
      </c>
    </row>
    <row r="200" spans="1:5" x14ac:dyDescent="0.3">
      <c r="A200" t="s">
        <v>190</v>
      </c>
      <c r="B200" t="s">
        <v>309</v>
      </c>
      <c r="C200">
        <v>4388</v>
      </c>
      <c r="D200">
        <f>VLOOKUP(表1_[[#This Row],[地区]],Sheet2!A:B,2,0)</f>
        <v>450000</v>
      </c>
      <c r="E200">
        <f>表1_[[#This Row],[年份]]+表1_[[#This Row],[行政区域]]</f>
        <v>452015</v>
      </c>
    </row>
    <row r="201" spans="1:5" x14ac:dyDescent="0.3">
      <c r="A201" t="s">
        <v>190</v>
      </c>
      <c r="B201" t="s">
        <v>310</v>
      </c>
      <c r="C201">
        <v>5058</v>
      </c>
      <c r="D201">
        <f>VLOOKUP(表1_[[#This Row],[地区]],Sheet2!A:B,2,0)</f>
        <v>450000</v>
      </c>
      <c r="E201">
        <f>表1_[[#This Row],[年份]]+表1_[[#This Row],[行政区域]]</f>
        <v>452014</v>
      </c>
    </row>
    <row r="202" spans="1:5" x14ac:dyDescent="0.3">
      <c r="A202" t="s">
        <v>200</v>
      </c>
      <c r="B202" t="s">
        <v>301</v>
      </c>
      <c r="C202">
        <v>549</v>
      </c>
      <c r="D202">
        <f>VLOOKUP(表1_[[#This Row],[地区]],Sheet2!A:B,2,0)</f>
        <v>460000</v>
      </c>
      <c r="E202">
        <f>表1_[[#This Row],[年份]]+表1_[[#This Row],[行政区域]]</f>
        <v>462023</v>
      </c>
    </row>
    <row r="203" spans="1:5" x14ac:dyDescent="0.3">
      <c r="A203" t="s">
        <v>200</v>
      </c>
      <c r="B203" t="s">
        <v>302</v>
      </c>
      <c r="C203">
        <v>517</v>
      </c>
      <c r="D203">
        <f>VLOOKUP(表1_[[#This Row],[地区]],Sheet2!A:B,2,0)</f>
        <v>460000</v>
      </c>
      <c r="E203">
        <f>表1_[[#This Row],[年份]]+表1_[[#This Row],[行政区域]]</f>
        <v>462022</v>
      </c>
    </row>
    <row r="204" spans="1:5" x14ac:dyDescent="0.3">
      <c r="A204" t="s">
        <v>200</v>
      </c>
      <c r="B204" t="s">
        <v>303</v>
      </c>
      <c r="C204">
        <v>441</v>
      </c>
      <c r="D204">
        <f>VLOOKUP(表1_[[#This Row],[地区]],Sheet2!A:B,2,0)</f>
        <v>460000</v>
      </c>
      <c r="E204">
        <f>表1_[[#This Row],[年份]]+表1_[[#This Row],[行政区域]]</f>
        <v>462021</v>
      </c>
    </row>
    <row r="205" spans="1:5" x14ac:dyDescent="0.3">
      <c r="A205" t="s">
        <v>200</v>
      </c>
      <c r="B205" t="s">
        <v>304</v>
      </c>
      <c r="C205">
        <v>484</v>
      </c>
      <c r="D205">
        <f>VLOOKUP(表1_[[#This Row],[地区]],Sheet2!A:B,2,0)</f>
        <v>460000</v>
      </c>
      <c r="E205">
        <f>表1_[[#This Row],[年份]]+表1_[[#This Row],[行政区域]]</f>
        <v>462020</v>
      </c>
    </row>
    <row r="206" spans="1:5" x14ac:dyDescent="0.3">
      <c r="A206" t="s">
        <v>200</v>
      </c>
      <c r="B206" t="s">
        <v>305</v>
      </c>
      <c r="C206">
        <v>398</v>
      </c>
      <c r="D206">
        <f>VLOOKUP(表1_[[#This Row],[地区]],Sheet2!A:B,2,0)</f>
        <v>460000</v>
      </c>
      <c r="E206">
        <f>表1_[[#This Row],[年份]]+表1_[[#This Row],[行政区域]]</f>
        <v>462019</v>
      </c>
    </row>
    <row r="207" spans="1:5" x14ac:dyDescent="0.3">
      <c r="A207" t="s">
        <v>200</v>
      </c>
      <c r="B207" t="s">
        <v>306</v>
      </c>
      <c r="C207">
        <v>269</v>
      </c>
      <c r="D207">
        <f>VLOOKUP(表1_[[#This Row],[地区]],Sheet2!A:B,2,0)</f>
        <v>460000</v>
      </c>
      <c r="E207">
        <f>表1_[[#This Row],[年份]]+表1_[[#This Row],[行政区域]]</f>
        <v>462018</v>
      </c>
    </row>
    <row r="208" spans="1:5" x14ac:dyDescent="0.3">
      <c r="A208" t="s">
        <v>200</v>
      </c>
      <c r="B208" t="s">
        <v>307</v>
      </c>
      <c r="C208">
        <v>241</v>
      </c>
      <c r="D208">
        <f>VLOOKUP(表1_[[#This Row],[地区]],Sheet2!A:B,2,0)</f>
        <v>460000</v>
      </c>
      <c r="E208">
        <f>表1_[[#This Row],[年份]]+表1_[[#This Row],[行政区域]]</f>
        <v>462017</v>
      </c>
    </row>
    <row r="209" spans="1:5" x14ac:dyDescent="0.3">
      <c r="A209" t="s">
        <v>200</v>
      </c>
      <c r="B209" t="s">
        <v>308</v>
      </c>
      <c r="C209">
        <v>225</v>
      </c>
      <c r="D209">
        <f>VLOOKUP(表1_[[#This Row],[地区]],Sheet2!A:B,2,0)</f>
        <v>460000</v>
      </c>
      <c r="E209">
        <f>表1_[[#This Row],[年份]]+表1_[[#This Row],[行政区域]]</f>
        <v>462016</v>
      </c>
    </row>
    <row r="210" spans="1:5" x14ac:dyDescent="0.3">
      <c r="A210" t="s">
        <v>200</v>
      </c>
      <c r="B210" t="s">
        <v>309</v>
      </c>
      <c r="C210">
        <v>268</v>
      </c>
      <c r="D210">
        <f>VLOOKUP(表1_[[#This Row],[地区]],Sheet2!A:B,2,0)</f>
        <v>460000</v>
      </c>
      <c r="E210">
        <f>表1_[[#This Row],[年份]]+表1_[[#This Row],[行政区域]]</f>
        <v>462015</v>
      </c>
    </row>
    <row r="211" spans="1:5" x14ac:dyDescent="0.3">
      <c r="A211" t="s">
        <v>200</v>
      </c>
      <c r="B211" t="s">
        <v>310</v>
      </c>
      <c r="C211">
        <v>274</v>
      </c>
      <c r="D211">
        <f>VLOOKUP(表1_[[#This Row],[地区]],Sheet2!A:B,2,0)</f>
        <v>460000</v>
      </c>
      <c r="E211">
        <f>表1_[[#This Row],[年份]]+表1_[[#This Row],[行政区域]]</f>
        <v>462014</v>
      </c>
    </row>
    <row r="212" spans="1:5" x14ac:dyDescent="0.3">
      <c r="A212" t="s">
        <v>210</v>
      </c>
      <c r="B212" t="s">
        <v>301</v>
      </c>
      <c r="C212">
        <v>2388</v>
      </c>
      <c r="D212">
        <f>VLOOKUP(表1_[[#This Row],[地区]],Sheet2!A:B,2,0)</f>
        <v>500000</v>
      </c>
      <c r="E212">
        <f>表1_[[#This Row],[年份]]+表1_[[#This Row],[行政区域]]</f>
        <v>502023</v>
      </c>
    </row>
    <row r="213" spans="1:5" x14ac:dyDescent="0.3">
      <c r="A213" t="s">
        <v>210</v>
      </c>
      <c r="B213" t="s">
        <v>302</v>
      </c>
      <c r="C213">
        <v>1971</v>
      </c>
      <c r="D213">
        <f>VLOOKUP(表1_[[#This Row],[地区]],Sheet2!A:B,2,0)</f>
        <v>500000</v>
      </c>
      <c r="E213">
        <f>表1_[[#This Row],[年份]]+表1_[[#This Row],[行政区域]]</f>
        <v>502022</v>
      </c>
    </row>
    <row r="214" spans="1:5" x14ac:dyDescent="0.3">
      <c r="A214" t="s">
        <v>210</v>
      </c>
      <c r="B214" t="s">
        <v>303</v>
      </c>
      <c r="C214">
        <v>1884</v>
      </c>
      <c r="D214">
        <f>VLOOKUP(表1_[[#This Row],[地区]],Sheet2!A:B,2,0)</f>
        <v>500000</v>
      </c>
      <c r="E214">
        <f>表1_[[#This Row],[年份]]+表1_[[#This Row],[行政区域]]</f>
        <v>502021</v>
      </c>
    </row>
    <row r="215" spans="1:5" x14ac:dyDescent="0.3">
      <c r="A215" t="s">
        <v>210</v>
      </c>
      <c r="B215" t="s">
        <v>304</v>
      </c>
      <c r="C215">
        <v>1909</v>
      </c>
      <c r="D215">
        <f>VLOOKUP(表1_[[#This Row],[地区]],Sheet2!A:B,2,0)</f>
        <v>500000</v>
      </c>
      <c r="E215">
        <f>表1_[[#This Row],[年份]]+表1_[[#This Row],[行政区域]]</f>
        <v>502020</v>
      </c>
    </row>
    <row r="216" spans="1:5" x14ac:dyDescent="0.3">
      <c r="A216" t="s">
        <v>210</v>
      </c>
      <c r="B216" t="s">
        <v>305</v>
      </c>
      <c r="C216">
        <v>1935</v>
      </c>
      <c r="D216">
        <f>VLOOKUP(表1_[[#This Row],[地区]],Sheet2!A:B,2,0)</f>
        <v>500000</v>
      </c>
      <c r="E216">
        <f>表1_[[#This Row],[年份]]+表1_[[#This Row],[行政区域]]</f>
        <v>502019</v>
      </c>
    </row>
    <row r="217" spans="1:5" x14ac:dyDescent="0.3">
      <c r="A217" t="s">
        <v>210</v>
      </c>
      <c r="B217" t="s">
        <v>306</v>
      </c>
      <c r="C217">
        <v>1894</v>
      </c>
      <c r="D217">
        <f>VLOOKUP(表1_[[#This Row],[地区]],Sheet2!A:B,2,0)</f>
        <v>500000</v>
      </c>
      <c r="E217">
        <f>表1_[[#This Row],[年份]]+表1_[[#This Row],[行政区域]]</f>
        <v>502018</v>
      </c>
    </row>
    <row r="218" spans="1:5" x14ac:dyDescent="0.3">
      <c r="A218" t="s">
        <v>210</v>
      </c>
      <c r="B218" t="s">
        <v>307</v>
      </c>
      <c r="C218">
        <v>1841</v>
      </c>
      <c r="D218">
        <f>VLOOKUP(表1_[[#This Row],[地区]],Sheet2!A:B,2,0)</f>
        <v>500000</v>
      </c>
      <c r="E218">
        <f>表1_[[#This Row],[年份]]+表1_[[#This Row],[行政区域]]</f>
        <v>502017</v>
      </c>
    </row>
    <row r="219" spans="1:5" x14ac:dyDescent="0.3">
      <c r="A219" t="s">
        <v>210</v>
      </c>
      <c r="B219" t="s">
        <v>308</v>
      </c>
      <c r="C219">
        <v>1855</v>
      </c>
      <c r="D219">
        <f>VLOOKUP(表1_[[#This Row],[地区]],Sheet2!A:B,2,0)</f>
        <v>500000</v>
      </c>
      <c r="E219">
        <f>表1_[[#This Row],[年份]]+表1_[[#This Row],[行政区域]]</f>
        <v>502016</v>
      </c>
    </row>
    <row r="220" spans="1:5" x14ac:dyDescent="0.3">
      <c r="A220" t="s">
        <v>210</v>
      </c>
      <c r="B220" t="s">
        <v>309</v>
      </c>
      <c r="C220">
        <v>2424</v>
      </c>
      <c r="D220">
        <f>VLOOKUP(表1_[[#This Row],[地区]],Sheet2!A:B,2,0)</f>
        <v>500000</v>
      </c>
      <c r="E220">
        <f>表1_[[#This Row],[年份]]+表1_[[#This Row],[行政区域]]</f>
        <v>502015</v>
      </c>
    </row>
    <row r="221" spans="1:5" x14ac:dyDescent="0.3">
      <c r="A221" t="s">
        <v>210</v>
      </c>
      <c r="B221" t="s">
        <v>310</v>
      </c>
      <c r="C221">
        <v>2648</v>
      </c>
      <c r="D221">
        <f>VLOOKUP(表1_[[#This Row],[地区]],Sheet2!A:B,2,0)</f>
        <v>500000</v>
      </c>
      <c r="E221">
        <f>表1_[[#This Row],[年份]]+表1_[[#This Row],[行政区域]]</f>
        <v>502014</v>
      </c>
    </row>
    <row r="222" spans="1:5" x14ac:dyDescent="0.3">
      <c r="A222" t="s">
        <v>220</v>
      </c>
      <c r="B222" t="s">
        <v>301</v>
      </c>
      <c r="C222">
        <v>7449</v>
      </c>
      <c r="D222">
        <f>VLOOKUP(表1_[[#This Row],[地区]],Sheet2!A:B,2,0)</f>
        <v>510000</v>
      </c>
      <c r="E222">
        <f>表1_[[#This Row],[年份]]+表1_[[#This Row],[行政区域]]</f>
        <v>512023</v>
      </c>
    </row>
    <row r="223" spans="1:5" x14ac:dyDescent="0.3">
      <c r="A223" t="s">
        <v>220</v>
      </c>
      <c r="B223" t="s">
        <v>302</v>
      </c>
      <c r="C223">
        <v>6798</v>
      </c>
      <c r="D223">
        <f>VLOOKUP(表1_[[#This Row],[地区]],Sheet2!A:B,2,0)</f>
        <v>510000</v>
      </c>
      <c r="E223">
        <f>表1_[[#This Row],[年份]]+表1_[[#This Row],[行政区域]]</f>
        <v>512022</v>
      </c>
    </row>
    <row r="224" spans="1:5" x14ac:dyDescent="0.3">
      <c r="A224" t="s">
        <v>220</v>
      </c>
      <c r="B224" t="s">
        <v>303</v>
      </c>
      <c r="C224">
        <v>6151</v>
      </c>
      <c r="D224">
        <f>VLOOKUP(表1_[[#This Row],[地区]],Sheet2!A:B,2,0)</f>
        <v>510000</v>
      </c>
      <c r="E224">
        <f>表1_[[#This Row],[年份]]+表1_[[#This Row],[行政区域]]</f>
        <v>512021</v>
      </c>
    </row>
    <row r="225" spans="1:5" x14ac:dyDescent="0.3">
      <c r="A225" t="s">
        <v>220</v>
      </c>
      <c r="B225" t="s">
        <v>304</v>
      </c>
      <c r="C225">
        <v>5656</v>
      </c>
      <c r="D225">
        <f>VLOOKUP(表1_[[#This Row],[地区]],Sheet2!A:B,2,0)</f>
        <v>510000</v>
      </c>
      <c r="E225">
        <f>表1_[[#This Row],[年份]]+表1_[[#This Row],[行政区域]]</f>
        <v>512020</v>
      </c>
    </row>
    <row r="226" spans="1:5" x14ac:dyDescent="0.3">
      <c r="A226" t="s">
        <v>220</v>
      </c>
      <c r="B226" t="s">
        <v>305</v>
      </c>
      <c r="C226">
        <v>7632</v>
      </c>
      <c r="D226">
        <f>VLOOKUP(表1_[[#This Row],[地区]],Sheet2!A:B,2,0)</f>
        <v>510000</v>
      </c>
      <c r="E226">
        <f>表1_[[#This Row],[年份]]+表1_[[#This Row],[行政区域]]</f>
        <v>512019</v>
      </c>
    </row>
    <row r="227" spans="1:5" x14ac:dyDescent="0.3">
      <c r="A227" t="s">
        <v>220</v>
      </c>
      <c r="B227" t="s">
        <v>306</v>
      </c>
      <c r="C227">
        <v>6805</v>
      </c>
      <c r="D227">
        <f>VLOOKUP(表1_[[#This Row],[地区]],Sheet2!A:B,2,0)</f>
        <v>510000</v>
      </c>
      <c r="E227">
        <f>表1_[[#This Row],[年份]]+表1_[[#This Row],[行政区域]]</f>
        <v>512018</v>
      </c>
    </row>
    <row r="228" spans="1:5" x14ac:dyDescent="0.3">
      <c r="A228" t="s">
        <v>220</v>
      </c>
      <c r="B228" t="s">
        <v>307</v>
      </c>
      <c r="C228">
        <v>5422</v>
      </c>
      <c r="D228">
        <f>VLOOKUP(表1_[[#This Row],[地区]],Sheet2!A:B,2,0)</f>
        <v>510000</v>
      </c>
      <c r="E228">
        <f>表1_[[#This Row],[年份]]+表1_[[#This Row],[行政区域]]</f>
        <v>512017</v>
      </c>
    </row>
    <row r="229" spans="1:5" x14ac:dyDescent="0.3">
      <c r="A229" t="s">
        <v>220</v>
      </c>
      <c r="B229" t="s">
        <v>308</v>
      </c>
      <c r="C229">
        <v>5314</v>
      </c>
      <c r="D229">
        <f>VLOOKUP(表1_[[#This Row],[地区]],Sheet2!A:B,2,0)</f>
        <v>510000</v>
      </c>
      <c r="E229">
        <f>表1_[[#This Row],[年份]]+表1_[[#This Row],[行政区域]]</f>
        <v>512016</v>
      </c>
    </row>
    <row r="230" spans="1:5" x14ac:dyDescent="0.3">
      <c r="A230" t="s">
        <v>220</v>
      </c>
      <c r="B230" t="s">
        <v>309</v>
      </c>
      <c r="C230">
        <v>5507</v>
      </c>
      <c r="D230">
        <f>VLOOKUP(表1_[[#This Row],[地区]],Sheet2!A:B,2,0)</f>
        <v>510000</v>
      </c>
      <c r="E230">
        <f>表1_[[#This Row],[年份]]+表1_[[#This Row],[行政区域]]</f>
        <v>512015</v>
      </c>
    </row>
    <row r="231" spans="1:5" x14ac:dyDescent="0.3">
      <c r="A231" t="s">
        <v>220</v>
      </c>
      <c r="B231" t="s">
        <v>310</v>
      </c>
      <c r="C231">
        <v>6185</v>
      </c>
      <c r="D231">
        <f>VLOOKUP(表1_[[#This Row],[地区]],Sheet2!A:B,2,0)</f>
        <v>510000</v>
      </c>
      <c r="E231">
        <f>表1_[[#This Row],[年份]]+表1_[[#This Row],[行政区域]]</f>
        <v>512014</v>
      </c>
    </row>
    <row r="232" spans="1:5" x14ac:dyDescent="0.3">
      <c r="A232" t="s">
        <v>230</v>
      </c>
      <c r="B232" t="s">
        <v>301</v>
      </c>
      <c r="C232">
        <v>8535</v>
      </c>
      <c r="D232">
        <f>VLOOKUP(表1_[[#This Row],[地区]],Sheet2!A:B,2,0)</f>
        <v>520000</v>
      </c>
      <c r="E232">
        <f>表1_[[#This Row],[年份]]+表1_[[#This Row],[行政区域]]</f>
        <v>522023</v>
      </c>
    </row>
    <row r="233" spans="1:5" x14ac:dyDescent="0.3">
      <c r="A233" t="s">
        <v>230</v>
      </c>
      <c r="B233" t="s">
        <v>302</v>
      </c>
      <c r="C233">
        <v>7569</v>
      </c>
      <c r="D233">
        <f>VLOOKUP(表1_[[#This Row],[地区]],Sheet2!A:B,2,0)</f>
        <v>520000</v>
      </c>
      <c r="E233">
        <f>表1_[[#This Row],[年份]]+表1_[[#This Row],[行政区域]]</f>
        <v>522022</v>
      </c>
    </row>
    <row r="234" spans="1:5" x14ac:dyDescent="0.3">
      <c r="A234" t="s">
        <v>230</v>
      </c>
      <c r="B234" t="s">
        <v>303</v>
      </c>
      <c r="C234">
        <v>7828</v>
      </c>
      <c r="D234">
        <f>VLOOKUP(表1_[[#This Row],[地区]],Sheet2!A:B,2,0)</f>
        <v>520000</v>
      </c>
      <c r="E234">
        <f>表1_[[#This Row],[年份]]+表1_[[#This Row],[行政区域]]</f>
        <v>522021</v>
      </c>
    </row>
    <row r="235" spans="1:5" x14ac:dyDescent="0.3">
      <c r="A235" t="s">
        <v>230</v>
      </c>
      <c r="B235" t="s">
        <v>304</v>
      </c>
      <c r="C235">
        <v>6610</v>
      </c>
      <c r="D235">
        <f>VLOOKUP(表1_[[#This Row],[地区]],Sheet2!A:B,2,0)</f>
        <v>520000</v>
      </c>
      <c r="E235">
        <f>表1_[[#This Row],[年份]]+表1_[[#This Row],[行政区域]]</f>
        <v>522020</v>
      </c>
    </row>
    <row r="236" spans="1:5" x14ac:dyDescent="0.3">
      <c r="A236" t="s">
        <v>230</v>
      </c>
      <c r="B236" t="s">
        <v>305</v>
      </c>
      <c r="C236">
        <v>7078</v>
      </c>
      <c r="D236">
        <f>VLOOKUP(表1_[[#This Row],[地区]],Sheet2!A:B,2,0)</f>
        <v>520000</v>
      </c>
      <c r="E236">
        <f>表1_[[#This Row],[年份]]+表1_[[#This Row],[行政区域]]</f>
        <v>522019</v>
      </c>
    </row>
    <row r="237" spans="1:5" x14ac:dyDescent="0.3">
      <c r="A237" t="s">
        <v>230</v>
      </c>
      <c r="B237" t="s">
        <v>306</v>
      </c>
      <c r="C237">
        <v>6808</v>
      </c>
      <c r="D237">
        <f>VLOOKUP(表1_[[#This Row],[地区]],Sheet2!A:B,2,0)</f>
        <v>520000</v>
      </c>
      <c r="E237">
        <f>表1_[[#This Row],[年份]]+表1_[[#This Row],[行政区域]]</f>
        <v>522018</v>
      </c>
    </row>
    <row r="238" spans="1:5" x14ac:dyDescent="0.3">
      <c r="A238" t="s">
        <v>230</v>
      </c>
      <c r="B238" t="s">
        <v>307</v>
      </c>
      <c r="C238">
        <v>5276</v>
      </c>
      <c r="D238">
        <f>VLOOKUP(表1_[[#This Row],[地区]],Sheet2!A:B,2,0)</f>
        <v>520000</v>
      </c>
      <c r="E238">
        <f>表1_[[#This Row],[年份]]+表1_[[#This Row],[行政区域]]</f>
        <v>522017</v>
      </c>
    </row>
    <row r="239" spans="1:5" x14ac:dyDescent="0.3">
      <c r="A239" t="s">
        <v>230</v>
      </c>
      <c r="B239" t="s">
        <v>308</v>
      </c>
      <c r="C239">
        <v>4731</v>
      </c>
      <c r="D239">
        <f>VLOOKUP(表1_[[#This Row],[地区]],Sheet2!A:B,2,0)</f>
        <v>520000</v>
      </c>
      <c r="E239">
        <f>表1_[[#This Row],[年份]]+表1_[[#This Row],[行政区域]]</f>
        <v>522016</v>
      </c>
    </row>
    <row r="240" spans="1:5" x14ac:dyDescent="0.3">
      <c r="A240" t="s">
        <v>230</v>
      </c>
      <c r="B240" t="s">
        <v>309</v>
      </c>
      <c r="C240">
        <v>4289</v>
      </c>
      <c r="D240">
        <f>VLOOKUP(表1_[[#This Row],[地区]],Sheet2!A:B,2,0)</f>
        <v>520000</v>
      </c>
      <c r="E240">
        <f>表1_[[#This Row],[年份]]+表1_[[#This Row],[行政区域]]</f>
        <v>522015</v>
      </c>
    </row>
    <row r="241" spans="1:5" x14ac:dyDescent="0.3">
      <c r="A241" t="s">
        <v>230</v>
      </c>
      <c r="B241" t="s">
        <v>310</v>
      </c>
      <c r="C241">
        <v>4313</v>
      </c>
      <c r="D241">
        <f>VLOOKUP(表1_[[#This Row],[地区]],Sheet2!A:B,2,0)</f>
        <v>520000</v>
      </c>
      <c r="E241">
        <f>表1_[[#This Row],[年份]]+表1_[[#This Row],[行政区域]]</f>
        <v>522014</v>
      </c>
    </row>
    <row r="242" spans="1:5" x14ac:dyDescent="0.3">
      <c r="A242" t="s">
        <v>240</v>
      </c>
      <c r="B242" t="s">
        <v>301</v>
      </c>
      <c r="C242">
        <v>9666</v>
      </c>
      <c r="D242">
        <f>VLOOKUP(表1_[[#This Row],[地区]],Sheet2!A:B,2,0)</f>
        <v>530000</v>
      </c>
      <c r="E242">
        <f>表1_[[#This Row],[年份]]+表1_[[#This Row],[行政区域]]</f>
        <v>532023</v>
      </c>
    </row>
    <row r="243" spans="1:5" x14ac:dyDescent="0.3">
      <c r="A243" t="s">
        <v>240</v>
      </c>
      <c r="B243" t="s">
        <v>302</v>
      </c>
      <c r="C243">
        <v>9292</v>
      </c>
      <c r="D243">
        <f>VLOOKUP(表1_[[#This Row],[地区]],Sheet2!A:B,2,0)</f>
        <v>530000</v>
      </c>
      <c r="E243">
        <f>表1_[[#This Row],[年份]]+表1_[[#This Row],[行政区域]]</f>
        <v>532022</v>
      </c>
    </row>
    <row r="244" spans="1:5" x14ac:dyDescent="0.3">
      <c r="A244" t="s">
        <v>240</v>
      </c>
      <c r="B244" t="s">
        <v>303</v>
      </c>
      <c r="C244">
        <v>9196</v>
      </c>
      <c r="D244">
        <f>VLOOKUP(表1_[[#This Row],[地区]],Sheet2!A:B,2,0)</f>
        <v>530000</v>
      </c>
      <c r="E244">
        <f>表1_[[#This Row],[年份]]+表1_[[#This Row],[行政区域]]</f>
        <v>532021</v>
      </c>
    </row>
    <row r="245" spans="1:5" x14ac:dyDescent="0.3">
      <c r="A245" t="s">
        <v>240</v>
      </c>
      <c r="B245" t="s">
        <v>304</v>
      </c>
      <c r="C245">
        <v>9060</v>
      </c>
      <c r="D245">
        <f>VLOOKUP(表1_[[#This Row],[地区]],Sheet2!A:B,2,0)</f>
        <v>530000</v>
      </c>
      <c r="E245">
        <f>表1_[[#This Row],[年份]]+表1_[[#This Row],[行政区域]]</f>
        <v>532020</v>
      </c>
    </row>
    <row r="246" spans="1:5" x14ac:dyDescent="0.3">
      <c r="A246" t="s">
        <v>240</v>
      </c>
      <c r="B246" t="s">
        <v>305</v>
      </c>
      <c r="C246">
        <v>10694</v>
      </c>
      <c r="D246">
        <f>VLOOKUP(表1_[[#This Row],[地区]],Sheet2!A:B,2,0)</f>
        <v>530000</v>
      </c>
      <c r="E246">
        <f>表1_[[#This Row],[年份]]+表1_[[#This Row],[行政区域]]</f>
        <v>532019</v>
      </c>
    </row>
    <row r="247" spans="1:5" x14ac:dyDescent="0.3">
      <c r="A247" t="s">
        <v>240</v>
      </c>
      <c r="B247" t="s">
        <v>306</v>
      </c>
      <c r="C247">
        <v>8732</v>
      </c>
      <c r="D247">
        <f>VLOOKUP(表1_[[#This Row],[地区]],Sheet2!A:B,2,0)</f>
        <v>530000</v>
      </c>
      <c r="E247">
        <f>表1_[[#This Row],[年份]]+表1_[[#This Row],[行政区域]]</f>
        <v>532018</v>
      </c>
    </row>
    <row r="248" spans="1:5" x14ac:dyDescent="0.3">
      <c r="A248" t="s">
        <v>240</v>
      </c>
      <c r="B248" t="s">
        <v>307</v>
      </c>
      <c r="C248">
        <v>7040</v>
      </c>
      <c r="D248">
        <f>VLOOKUP(表1_[[#This Row],[地区]],Sheet2!A:B,2,0)</f>
        <v>530000</v>
      </c>
      <c r="E248">
        <f>表1_[[#This Row],[年份]]+表1_[[#This Row],[行政区域]]</f>
        <v>532017</v>
      </c>
    </row>
    <row r="249" spans="1:5" x14ac:dyDescent="0.3">
      <c r="A249" t="s">
        <v>240</v>
      </c>
      <c r="B249" t="s">
        <v>308</v>
      </c>
      <c r="C249">
        <v>8499</v>
      </c>
      <c r="D249">
        <f>VLOOKUP(表1_[[#This Row],[地区]],Sheet2!A:B,2,0)</f>
        <v>530000</v>
      </c>
      <c r="E249">
        <f>表1_[[#This Row],[年份]]+表1_[[#This Row],[行政区域]]</f>
        <v>532016</v>
      </c>
    </row>
    <row r="250" spans="1:5" x14ac:dyDescent="0.3">
      <c r="A250" t="s">
        <v>240</v>
      </c>
      <c r="B250" t="s">
        <v>309</v>
      </c>
      <c r="C250">
        <v>7198</v>
      </c>
      <c r="D250">
        <f>VLOOKUP(表1_[[#This Row],[地区]],Sheet2!A:B,2,0)</f>
        <v>530000</v>
      </c>
      <c r="E250">
        <f>表1_[[#This Row],[年份]]+表1_[[#This Row],[行政区域]]</f>
        <v>532015</v>
      </c>
    </row>
    <row r="251" spans="1:5" x14ac:dyDescent="0.3">
      <c r="A251" t="s">
        <v>240</v>
      </c>
      <c r="B251" t="s">
        <v>310</v>
      </c>
      <c r="C251">
        <v>7216</v>
      </c>
      <c r="D251">
        <f>VLOOKUP(表1_[[#This Row],[地区]],Sheet2!A:B,2,0)</f>
        <v>530000</v>
      </c>
      <c r="E251">
        <f>表1_[[#This Row],[年份]]+表1_[[#This Row],[行政区域]]</f>
        <v>532014</v>
      </c>
    </row>
    <row r="252" spans="1:5" x14ac:dyDescent="0.3">
      <c r="A252" t="s">
        <v>250</v>
      </c>
      <c r="B252" t="s">
        <v>301</v>
      </c>
      <c r="C252">
        <v>7497</v>
      </c>
      <c r="D252">
        <f>VLOOKUP(表1_[[#This Row],[地区]],Sheet2!A:B,2,0)</f>
        <v>610000</v>
      </c>
      <c r="E252">
        <f>表1_[[#This Row],[年份]]+表1_[[#This Row],[行政区域]]</f>
        <v>612023</v>
      </c>
    </row>
    <row r="253" spans="1:5" x14ac:dyDescent="0.3">
      <c r="A253" t="s">
        <v>250</v>
      </c>
      <c r="B253" t="s">
        <v>302</v>
      </c>
      <c r="C253">
        <v>7206</v>
      </c>
      <c r="D253">
        <f>VLOOKUP(表1_[[#This Row],[地区]],Sheet2!A:B,2,0)</f>
        <v>610000</v>
      </c>
      <c r="E253">
        <f>表1_[[#This Row],[年份]]+表1_[[#This Row],[行政区域]]</f>
        <v>612022</v>
      </c>
    </row>
    <row r="254" spans="1:5" x14ac:dyDescent="0.3">
      <c r="A254" t="s">
        <v>250</v>
      </c>
      <c r="B254" t="s">
        <v>303</v>
      </c>
      <c r="C254">
        <v>6463</v>
      </c>
      <c r="D254">
        <f>VLOOKUP(表1_[[#This Row],[地区]],Sheet2!A:B,2,0)</f>
        <v>610000</v>
      </c>
      <c r="E254">
        <f>表1_[[#This Row],[年份]]+表1_[[#This Row],[行政区域]]</f>
        <v>612021</v>
      </c>
    </row>
    <row r="255" spans="1:5" x14ac:dyDescent="0.3">
      <c r="A255" t="s">
        <v>250</v>
      </c>
      <c r="B255" t="s">
        <v>304</v>
      </c>
      <c r="C255">
        <v>6443</v>
      </c>
      <c r="D255">
        <f>VLOOKUP(表1_[[#This Row],[地区]],Sheet2!A:B,2,0)</f>
        <v>610000</v>
      </c>
      <c r="E255">
        <f>表1_[[#This Row],[年份]]+表1_[[#This Row],[行政区域]]</f>
        <v>612020</v>
      </c>
    </row>
    <row r="256" spans="1:5" x14ac:dyDescent="0.3">
      <c r="A256" t="s">
        <v>250</v>
      </c>
      <c r="B256" t="s">
        <v>305</v>
      </c>
      <c r="C256">
        <v>5411</v>
      </c>
      <c r="D256">
        <f>VLOOKUP(表1_[[#This Row],[地区]],Sheet2!A:B,2,0)</f>
        <v>610000</v>
      </c>
      <c r="E256">
        <f>表1_[[#This Row],[年份]]+表1_[[#This Row],[行政区域]]</f>
        <v>612019</v>
      </c>
    </row>
    <row r="257" spans="1:5" x14ac:dyDescent="0.3">
      <c r="A257" t="s">
        <v>250</v>
      </c>
      <c r="B257" t="s">
        <v>306</v>
      </c>
      <c r="C257">
        <v>4702</v>
      </c>
      <c r="D257">
        <f>VLOOKUP(表1_[[#This Row],[地区]],Sheet2!A:B,2,0)</f>
        <v>610000</v>
      </c>
      <c r="E257">
        <f>表1_[[#This Row],[年份]]+表1_[[#This Row],[行政区域]]</f>
        <v>612018</v>
      </c>
    </row>
    <row r="258" spans="1:5" x14ac:dyDescent="0.3">
      <c r="A258" t="s">
        <v>250</v>
      </c>
      <c r="B258" t="s">
        <v>307</v>
      </c>
      <c r="C258">
        <v>4861</v>
      </c>
      <c r="D258">
        <f>VLOOKUP(表1_[[#This Row],[地区]],Sheet2!A:B,2,0)</f>
        <v>610000</v>
      </c>
      <c r="E258">
        <f>表1_[[#This Row],[年份]]+表1_[[#This Row],[行政区域]]</f>
        <v>612017</v>
      </c>
    </row>
    <row r="259" spans="1:5" x14ac:dyDescent="0.3">
      <c r="A259" t="s">
        <v>250</v>
      </c>
      <c r="B259" t="s">
        <v>308</v>
      </c>
      <c r="C259">
        <v>6773</v>
      </c>
      <c r="D259">
        <f>VLOOKUP(表1_[[#This Row],[地区]],Sheet2!A:B,2,0)</f>
        <v>610000</v>
      </c>
      <c r="E259">
        <f>表1_[[#This Row],[年份]]+表1_[[#This Row],[行政区域]]</f>
        <v>612016</v>
      </c>
    </row>
    <row r="260" spans="1:5" x14ac:dyDescent="0.3">
      <c r="A260" t="s">
        <v>250</v>
      </c>
      <c r="B260" t="s">
        <v>309</v>
      </c>
      <c r="C260">
        <v>6102</v>
      </c>
      <c r="D260">
        <f>VLOOKUP(表1_[[#This Row],[地区]],Sheet2!A:B,2,0)</f>
        <v>610000</v>
      </c>
      <c r="E260">
        <f>表1_[[#This Row],[年份]]+表1_[[#This Row],[行政区域]]</f>
        <v>612015</v>
      </c>
    </row>
    <row r="261" spans="1:5" x14ac:dyDescent="0.3">
      <c r="A261" t="s">
        <v>250</v>
      </c>
      <c r="B261" t="s">
        <v>310</v>
      </c>
      <c r="C261">
        <v>5464</v>
      </c>
      <c r="D261">
        <f>VLOOKUP(表1_[[#This Row],[地区]],Sheet2!A:B,2,0)</f>
        <v>610000</v>
      </c>
      <c r="E261">
        <f>表1_[[#This Row],[年份]]+表1_[[#This Row],[行政区域]]</f>
        <v>612014</v>
      </c>
    </row>
    <row r="262" spans="1:5" x14ac:dyDescent="0.3">
      <c r="A262" t="s">
        <v>260</v>
      </c>
      <c r="B262" t="s">
        <v>301</v>
      </c>
      <c r="C262">
        <v>3174</v>
      </c>
      <c r="D262">
        <f>VLOOKUP(表1_[[#This Row],[地区]],Sheet2!A:B,2,0)</f>
        <v>620000</v>
      </c>
      <c r="E262">
        <f>表1_[[#This Row],[年份]]+表1_[[#This Row],[行政区域]]</f>
        <v>622023</v>
      </c>
    </row>
    <row r="263" spans="1:5" x14ac:dyDescent="0.3">
      <c r="A263" t="s">
        <v>260</v>
      </c>
      <c r="B263" t="s">
        <v>302</v>
      </c>
      <c r="C263">
        <v>3077</v>
      </c>
      <c r="D263">
        <f>VLOOKUP(表1_[[#This Row],[地区]],Sheet2!A:B,2,0)</f>
        <v>620000</v>
      </c>
      <c r="E263">
        <f>表1_[[#This Row],[年份]]+表1_[[#This Row],[行政区域]]</f>
        <v>622022</v>
      </c>
    </row>
    <row r="264" spans="1:5" x14ac:dyDescent="0.3">
      <c r="A264" t="s">
        <v>260</v>
      </c>
      <c r="B264" t="s">
        <v>303</v>
      </c>
      <c r="C264">
        <v>2990</v>
      </c>
      <c r="D264">
        <f>VLOOKUP(表1_[[#This Row],[地区]],Sheet2!A:B,2,0)</f>
        <v>620000</v>
      </c>
      <c r="E264">
        <f>表1_[[#This Row],[年份]]+表1_[[#This Row],[行政区域]]</f>
        <v>622021</v>
      </c>
    </row>
    <row r="265" spans="1:5" x14ac:dyDescent="0.3">
      <c r="A265" t="s">
        <v>260</v>
      </c>
      <c r="B265" t="s">
        <v>304</v>
      </c>
      <c r="C265">
        <v>2804</v>
      </c>
      <c r="D265">
        <f>VLOOKUP(表1_[[#This Row],[地区]],Sheet2!A:B,2,0)</f>
        <v>620000</v>
      </c>
      <c r="E265">
        <f>表1_[[#This Row],[年份]]+表1_[[#This Row],[行政区域]]</f>
        <v>622020</v>
      </c>
    </row>
    <row r="266" spans="1:5" x14ac:dyDescent="0.3">
      <c r="A266" t="s">
        <v>260</v>
      </c>
      <c r="B266" t="s">
        <v>305</v>
      </c>
      <c r="C266">
        <v>2550</v>
      </c>
      <c r="D266">
        <f>VLOOKUP(表1_[[#This Row],[地区]],Sheet2!A:B,2,0)</f>
        <v>620000</v>
      </c>
      <c r="E266">
        <f>表1_[[#This Row],[年份]]+表1_[[#This Row],[行政区域]]</f>
        <v>622019</v>
      </c>
    </row>
    <row r="267" spans="1:5" x14ac:dyDescent="0.3">
      <c r="A267" t="s">
        <v>260</v>
      </c>
      <c r="B267" t="s">
        <v>306</v>
      </c>
      <c r="C267">
        <v>2215</v>
      </c>
      <c r="D267">
        <f>VLOOKUP(表1_[[#This Row],[地区]],Sheet2!A:B,2,0)</f>
        <v>620000</v>
      </c>
      <c r="E267">
        <f>表1_[[#This Row],[年份]]+表1_[[#This Row],[行政区域]]</f>
        <v>622018</v>
      </c>
    </row>
    <row r="268" spans="1:5" x14ac:dyDescent="0.3">
      <c r="A268" t="s">
        <v>260</v>
      </c>
      <c r="B268" t="s">
        <v>307</v>
      </c>
      <c r="C268">
        <v>2583</v>
      </c>
      <c r="D268">
        <f>VLOOKUP(表1_[[#This Row],[地区]],Sheet2!A:B,2,0)</f>
        <v>620000</v>
      </c>
      <c r="E268">
        <f>表1_[[#This Row],[年份]]+表1_[[#This Row],[行政区域]]</f>
        <v>622017</v>
      </c>
    </row>
    <row r="269" spans="1:5" x14ac:dyDescent="0.3">
      <c r="A269" t="s">
        <v>260</v>
      </c>
      <c r="B269" t="s">
        <v>308</v>
      </c>
      <c r="C269">
        <v>3092</v>
      </c>
      <c r="D269">
        <f>VLOOKUP(表1_[[#This Row],[地区]],Sheet2!A:B,2,0)</f>
        <v>620000</v>
      </c>
      <c r="E269">
        <f>表1_[[#This Row],[年份]]+表1_[[#This Row],[行政区域]]</f>
        <v>622016</v>
      </c>
    </row>
    <row r="270" spans="1:5" x14ac:dyDescent="0.3">
      <c r="A270" t="s">
        <v>260</v>
      </c>
      <c r="B270" t="s">
        <v>309</v>
      </c>
      <c r="C270">
        <v>3079</v>
      </c>
      <c r="D270">
        <f>VLOOKUP(表1_[[#This Row],[地区]],Sheet2!A:B,2,0)</f>
        <v>620000</v>
      </c>
      <c r="E270">
        <f>表1_[[#This Row],[年份]]+表1_[[#This Row],[行政区域]]</f>
        <v>622015</v>
      </c>
    </row>
    <row r="271" spans="1:5" x14ac:dyDescent="0.3">
      <c r="A271" t="s">
        <v>260</v>
      </c>
      <c r="B271" t="s">
        <v>310</v>
      </c>
      <c r="C271">
        <v>3086</v>
      </c>
      <c r="D271">
        <f>VLOOKUP(表1_[[#This Row],[地区]],Sheet2!A:B,2,0)</f>
        <v>620000</v>
      </c>
      <c r="E271">
        <f>表1_[[#This Row],[年份]]+表1_[[#This Row],[行政区域]]</f>
        <v>622014</v>
      </c>
    </row>
    <row r="272" spans="1:5" x14ac:dyDescent="0.3">
      <c r="A272" t="s">
        <v>270</v>
      </c>
      <c r="B272" t="s">
        <v>301</v>
      </c>
      <c r="C272">
        <v>9887</v>
      </c>
      <c r="D272">
        <f>VLOOKUP(表1_[[#This Row],[地区]],Sheet2!A:B,2,0)</f>
        <v>630000</v>
      </c>
      <c r="E272">
        <f>表1_[[#This Row],[年份]]+表1_[[#This Row],[行政区域]]</f>
        <v>632023</v>
      </c>
    </row>
    <row r="273" spans="1:5" x14ac:dyDescent="0.3">
      <c r="A273" t="s">
        <v>270</v>
      </c>
      <c r="B273" t="s">
        <v>302</v>
      </c>
      <c r="C273">
        <v>9387</v>
      </c>
      <c r="D273">
        <f>VLOOKUP(表1_[[#This Row],[地区]],Sheet2!A:B,2,0)</f>
        <v>630000</v>
      </c>
      <c r="E273">
        <f>表1_[[#This Row],[年份]]+表1_[[#This Row],[行政区域]]</f>
        <v>632022</v>
      </c>
    </row>
    <row r="274" spans="1:5" x14ac:dyDescent="0.3">
      <c r="A274" t="s">
        <v>270</v>
      </c>
      <c r="B274" t="s">
        <v>303</v>
      </c>
      <c r="C274">
        <v>8379</v>
      </c>
      <c r="D274">
        <f>VLOOKUP(表1_[[#This Row],[地区]],Sheet2!A:B,2,0)</f>
        <v>630000</v>
      </c>
      <c r="E274">
        <f>表1_[[#This Row],[年份]]+表1_[[#This Row],[行政区域]]</f>
        <v>632021</v>
      </c>
    </row>
    <row r="275" spans="1:5" x14ac:dyDescent="0.3">
      <c r="A275" t="s">
        <v>270</v>
      </c>
      <c r="B275" t="s">
        <v>304</v>
      </c>
      <c r="C275">
        <v>6892</v>
      </c>
      <c r="D275">
        <f>VLOOKUP(表1_[[#This Row],[地区]],Sheet2!A:B,2,0)</f>
        <v>630000</v>
      </c>
      <c r="E275">
        <f>表1_[[#This Row],[年份]]+表1_[[#This Row],[行政区域]]</f>
        <v>632020</v>
      </c>
    </row>
    <row r="276" spans="1:5" x14ac:dyDescent="0.3">
      <c r="A276" t="s">
        <v>270</v>
      </c>
      <c r="B276" t="s">
        <v>305</v>
      </c>
      <c r="C276">
        <v>8685</v>
      </c>
      <c r="D276">
        <f>VLOOKUP(表1_[[#This Row],[地区]],Sheet2!A:B,2,0)</f>
        <v>630000</v>
      </c>
      <c r="E276">
        <f>表1_[[#This Row],[年份]]+表1_[[#This Row],[行政区域]]</f>
        <v>632019</v>
      </c>
    </row>
    <row r="277" spans="1:5" x14ac:dyDescent="0.3">
      <c r="A277" t="s">
        <v>270</v>
      </c>
      <c r="B277" t="s">
        <v>306</v>
      </c>
      <c r="C277">
        <v>7970</v>
      </c>
      <c r="D277">
        <f>VLOOKUP(表1_[[#This Row],[地区]],Sheet2!A:B,2,0)</f>
        <v>630000</v>
      </c>
      <c r="E277">
        <f>表1_[[#This Row],[年份]]+表1_[[#This Row],[行政区域]]</f>
        <v>632018</v>
      </c>
    </row>
    <row r="278" spans="1:5" x14ac:dyDescent="0.3">
      <c r="A278" t="s">
        <v>270</v>
      </c>
      <c r="B278" t="s">
        <v>307</v>
      </c>
      <c r="C278">
        <v>9537</v>
      </c>
      <c r="D278">
        <f>VLOOKUP(表1_[[#This Row],[地区]],Sheet2!A:B,2,0)</f>
        <v>630000</v>
      </c>
      <c r="E278">
        <f>表1_[[#This Row],[年份]]+表1_[[#This Row],[行政区域]]</f>
        <v>632017</v>
      </c>
    </row>
    <row r="279" spans="1:5" x14ac:dyDescent="0.3">
      <c r="A279" t="s">
        <v>270</v>
      </c>
      <c r="B279" t="s">
        <v>308</v>
      </c>
      <c r="C279">
        <v>10316</v>
      </c>
      <c r="D279">
        <f>VLOOKUP(表1_[[#This Row],[地区]],Sheet2!A:B,2,0)</f>
        <v>630000</v>
      </c>
      <c r="E279">
        <f>表1_[[#This Row],[年份]]+表1_[[#This Row],[行政区域]]</f>
        <v>632016</v>
      </c>
    </row>
    <row r="280" spans="1:5" x14ac:dyDescent="0.3">
      <c r="A280" t="s">
        <v>270</v>
      </c>
      <c r="B280" t="s">
        <v>309</v>
      </c>
      <c r="C280">
        <v>7247</v>
      </c>
      <c r="D280">
        <f>VLOOKUP(表1_[[#This Row],[地区]],Sheet2!A:B,2,0)</f>
        <v>630000</v>
      </c>
      <c r="E280">
        <f>表1_[[#This Row],[年份]]+表1_[[#This Row],[行政区域]]</f>
        <v>632015</v>
      </c>
    </row>
    <row r="281" spans="1:5" x14ac:dyDescent="0.3">
      <c r="A281" t="s">
        <v>270</v>
      </c>
      <c r="B281" t="s">
        <v>310</v>
      </c>
      <c r="C281">
        <v>6999</v>
      </c>
      <c r="D281">
        <f>VLOOKUP(表1_[[#This Row],[地区]],Sheet2!A:B,2,0)</f>
        <v>630000</v>
      </c>
      <c r="E281">
        <f>表1_[[#This Row],[年份]]+表1_[[#This Row],[行政区域]]</f>
        <v>632014</v>
      </c>
    </row>
    <row r="282" spans="1:5" x14ac:dyDescent="0.3">
      <c r="A282" t="s">
        <v>280</v>
      </c>
      <c r="B282" t="s">
        <v>301</v>
      </c>
      <c r="C282">
        <v>5059</v>
      </c>
      <c r="D282">
        <f>VLOOKUP(表1_[[#This Row],[地区]],Sheet2!A:B,2,0)</f>
        <v>640000</v>
      </c>
      <c r="E282">
        <f>表1_[[#This Row],[年份]]+表1_[[#This Row],[行政区域]]</f>
        <v>642023</v>
      </c>
    </row>
    <row r="283" spans="1:5" x14ac:dyDescent="0.3">
      <c r="A283" t="s">
        <v>280</v>
      </c>
      <c r="B283" t="s">
        <v>302</v>
      </c>
      <c r="C283">
        <v>4598</v>
      </c>
      <c r="D283">
        <f>VLOOKUP(表1_[[#This Row],[地区]],Sheet2!A:B,2,0)</f>
        <v>640000</v>
      </c>
      <c r="E283">
        <f>表1_[[#This Row],[年份]]+表1_[[#This Row],[行政区域]]</f>
        <v>642022</v>
      </c>
    </row>
    <row r="284" spans="1:5" x14ac:dyDescent="0.3">
      <c r="A284" t="s">
        <v>280</v>
      </c>
      <c r="B284" t="s">
        <v>303</v>
      </c>
      <c r="C284">
        <v>3555</v>
      </c>
      <c r="D284">
        <f>VLOOKUP(表1_[[#This Row],[地区]],Sheet2!A:B,2,0)</f>
        <v>640000</v>
      </c>
      <c r="E284">
        <f>表1_[[#This Row],[年份]]+表1_[[#This Row],[行政区域]]</f>
        <v>642021</v>
      </c>
    </row>
    <row r="285" spans="1:5" x14ac:dyDescent="0.3">
      <c r="A285" t="s">
        <v>280</v>
      </c>
      <c r="B285" t="s">
        <v>304</v>
      </c>
      <c r="C285">
        <v>3117</v>
      </c>
      <c r="D285">
        <f>VLOOKUP(表1_[[#This Row],[地区]],Sheet2!A:B,2,0)</f>
        <v>640000</v>
      </c>
      <c r="E285">
        <f>表1_[[#This Row],[年份]]+表1_[[#This Row],[行政区域]]</f>
        <v>642020</v>
      </c>
    </row>
    <row r="286" spans="1:5" x14ac:dyDescent="0.3">
      <c r="A286" t="s">
        <v>280</v>
      </c>
      <c r="B286" t="s">
        <v>305</v>
      </c>
      <c r="C286">
        <v>2552</v>
      </c>
      <c r="D286">
        <f>VLOOKUP(表1_[[#This Row],[地区]],Sheet2!A:B,2,0)</f>
        <v>640000</v>
      </c>
      <c r="E286">
        <f>表1_[[#This Row],[年份]]+表1_[[#This Row],[行政区域]]</f>
        <v>642019</v>
      </c>
    </row>
    <row r="287" spans="1:5" x14ac:dyDescent="0.3">
      <c r="A287" t="s">
        <v>280</v>
      </c>
      <c r="B287" t="s">
        <v>306</v>
      </c>
      <c r="C287">
        <v>2225</v>
      </c>
      <c r="D287">
        <f>VLOOKUP(表1_[[#This Row],[地区]],Sheet2!A:B,2,0)</f>
        <v>640000</v>
      </c>
      <c r="E287">
        <f>表1_[[#This Row],[年份]]+表1_[[#This Row],[行政区域]]</f>
        <v>642018</v>
      </c>
    </row>
    <row r="288" spans="1:5" x14ac:dyDescent="0.3">
      <c r="A288" t="s">
        <v>280</v>
      </c>
      <c r="B288" t="s">
        <v>307</v>
      </c>
      <c r="C288">
        <v>1970</v>
      </c>
      <c r="D288">
        <f>VLOOKUP(表1_[[#This Row],[地区]],Sheet2!A:B,2,0)</f>
        <v>640000</v>
      </c>
      <c r="E288">
        <f>表1_[[#This Row],[年份]]+表1_[[#This Row],[行政区域]]</f>
        <v>642017</v>
      </c>
    </row>
    <row r="289" spans="1:5" x14ac:dyDescent="0.3">
      <c r="A289" t="s">
        <v>280</v>
      </c>
      <c r="B289" t="s">
        <v>308</v>
      </c>
      <c r="C289">
        <v>2122</v>
      </c>
      <c r="D289">
        <f>VLOOKUP(表1_[[#This Row],[地区]],Sheet2!A:B,2,0)</f>
        <v>640000</v>
      </c>
      <c r="E289">
        <f>表1_[[#This Row],[年份]]+表1_[[#This Row],[行政区域]]</f>
        <v>642016</v>
      </c>
    </row>
    <row r="290" spans="1:5" x14ac:dyDescent="0.3">
      <c r="A290" t="s">
        <v>280</v>
      </c>
      <c r="B290" t="s">
        <v>309</v>
      </c>
      <c r="C290">
        <v>2131</v>
      </c>
      <c r="D290">
        <f>VLOOKUP(表1_[[#This Row],[地区]],Sheet2!A:B,2,0)</f>
        <v>640000</v>
      </c>
      <c r="E290">
        <f>表1_[[#This Row],[年份]]+表1_[[#This Row],[行政区域]]</f>
        <v>642015</v>
      </c>
    </row>
    <row r="291" spans="1:5" x14ac:dyDescent="0.3">
      <c r="A291" t="s">
        <v>280</v>
      </c>
      <c r="B291" t="s">
        <v>310</v>
      </c>
      <c r="C291">
        <v>2928</v>
      </c>
      <c r="D291">
        <f>VLOOKUP(表1_[[#This Row],[地区]],Sheet2!A:B,2,0)</f>
        <v>640000</v>
      </c>
      <c r="E291">
        <f>表1_[[#This Row],[年份]]+表1_[[#This Row],[行政区域]]</f>
        <v>642014</v>
      </c>
    </row>
    <row r="292" spans="1:5" x14ac:dyDescent="0.3">
      <c r="A292" t="s">
        <v>290</v>
      </c>
      <c r="B292" t="s">
        <v>301</v>
      </c>
      <c r="C292">
        <v>5816</v>
      </c>
      <c r="D292">
        <f>VLOOKUP(表1_[[#This Row],[地区]],Sheet2!A:B,2,0)</f>
        <v>650000</v>
      </c>
      <c r="E292">
        <f>表1_[[#This Row],[年份]]+表1_[[#This Row],[行政区域]]</f>
        <v>652023</v>
      </c>
    </row>
    <row r="293" spans="1:5" x14ac:dyDescent="0.3">
      <c r="A293" t="s">
        <v>290</v>
      </c>
      <c r="B293" t="s">
        <v>302</v>
      </c>
      <c r="C293">
        <v>4720</v>
      </c>
      <c r="D293">
        <f>VLOOKUP(表1_[[#This Row],[地区]],Sheet2!A:B,2,0)</f>
        <v>650000</v>
      </c>
      <c r="E293">
        <f>表1_[[#This Row],[年份]]+表1_[[#This Row],[行政区域]]</f>
        <v>652022</v>
      </c>
    </row>
    <row r="294" spans="1:5" x14ac:dyDescent="0.3">
      <c r="A294" t="s">
        <v>290</v>
      </c>
      <c r="B294" t="s">
        <v>303</v>
      </c>
      <c r="C294">
        <v>4430</v>
      </c>
      <c r="D294">
        <f>VLOOKUP(表1_[[#This Row],[地区]],Sheet2!A:B,2,0)</f>
        <v>650000</v>
      </c>
      <c r="E294">
        <f>表1_[[#This Row],[年份]]+表1_[[#This Row],[行政区域]]</f>
        <v>652021</v>
      </c>
    </row>
    <row r="295" spans="1:5" x14ac:dyDescent="0.3">
      <c r="A295" t="s">
        <v>290</v>
      </c>
      <c r="B295" t="s">
        <v>304</v>
      </c>
      <c r="C295">
        <v>4053</v>
      </c>
      <c r="D295">
        <f>VLOOKUP(表1_[[#This Row],[地区]],Sheet2!A:B,2,0)</f>
        <v>650000</v>
      </c>
      <c r="E295">
        <f>表1_[[#This Row],[年份]]+表1_[[#This Row],[行政区域]]</f>
        <v>652020</v>
      </c>
    </row>
    <row r="296" spans="1:5" x14ac:dyDescent="0.3">
      <c r="A296" t="s">
        <v>290</v>
      </c>
      <c r="B296" t="s">
        <v>305</v>
      </c>
      <c r="C296">
        <v>6465</v>
      </c>
      <c r="D296">
        <f>VLOOKUP(表1_[[#This Row],[地区]],Sheet2!A:B,2,0)</f>
        <v>650000</v>
      </c>
      <c r="E296">
        <f>表1_[[#This Row],[年份]]+表1_[[#This Row],[行政区域]]</f>
        <v>652019</v>
      </c>
    </row>
    <row r="297" spans="1:5" x14ac:dyDescent="0.3">
      <c r="A297" t="s">
        <v>290</v>
      </c>
      <c r="B297" t="s">
        <v>306</v>
      </c>
      <c r="C297">
        <v>5699</v>
      </c>
      <c r="D297">
        <f>VLOOKUP(表1_[[#This Row],[地区]],Sheet2!A:B,2,0)</f>
        <v>650000</v>
      </c>
      <c r="E297">
        <f>表1_[[#This Row],[年份]]+表1_[[#This Row],[行政区域]]</f>
        <v>652018</v>
      </c>
    </row>
    <row r="298" spans="1:5" x14ac:dyDescent="0.3">
      <c r="A298" t="s">
        <v>290</v>
      </c>
      <c r="B298" t="s">
        <v>307</v>
      </c>
      <c r="C298">
        <v>5841</v>
      </c>
      <c r="D298">
        <f>VLOOKUP(表1_[[#This Row],[地区]],Sheet2!A:B,2,0)</f>
        <v>650000</v>
      </c>
      <c r="E298">
        <f>表1_[[#This Row],[年份]]+表1_[[#This Row],[行政区域]]</f>
        <v>652017</v>
      </c>
    </row>
    <row r="299" spans="1:5" x14ac:dyDescent="0.3">
      <c r="A299" t="s">
        <v>290</v>
      </c>
      <c r="B299" t="s">
        <v>308</v>
      </c>
      <c r="C299">
        <v>5898</v>
      </c>
      <c r="D299">
        <f>VLOOKUP(表1_[[#This Row],[地区]],Sheet2!A:B,2,0)</f>
        <v>650000</v>
      </c>
      <c r="E299">
        <f>表1_[[#This Row],[年份]]+表1_[[#This Row],[行政区域]]</f>
        <v>652016</v>
      </c>
    </row>
    <row r="300" spans="1:5" x14ac:dyDescent="0.3">
      <c r="A300" t="s">
        <v>290</v>
      </c>
      <c r="B300" t="s">
        <v>309</v>
      </c>
      <c r="C300">
        <v>4133</v>
      </c>
      <c r="D300">
        <f>VLOOKUP(表1_[[#This Row],[地区]],Sheet2!A:B,2,0)</f>
        <v>650000</v>
      </c>
      <c r="E300">
        <f>表1_[[#This Row],[年份]]+表1_[[#This Row],[行政区域]]</f>
        <v>652015</v>
      </c>
    </row>
    <row r="301" spans="1:5" x14ac:dyDescent="0.3">
      <c r="A301" t="s">
        <v>290</v>
      </c>
      <c r="B301" t="s">
        <v>310</v>
      </c>
      <c r="C301">
        <v>4334</v>
      </c>
      <c r="D301">
        <f>VLOOKUP(表1_[[#This Row],[地区]],Sheet2!A:B,2,0)</f>
        <v>650000</v>
      </c>
      <c r="E301">
        <f>表1_[[#This Row],[年份]]+表1_[[#This Row],[行政区域]]</f>
        <v>652014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C6B7-6A7A-44CC-8FE3-EF856CCCB4C8}">
  <dimension ref="A1:B31"/>
  <sheetViews>
    <sheetView workbookViewId="0">
      <selection activeCell="D6" sqref="D6"/>
    </sheetView>
  </sheetViews>
  <sheetFormatPr defaultRowHeight="13.9" x14ac:dyDescent="0.3"/>
  <cols>
    <col min="1" max="2" width="9.06640625" style="10"/>
  </cols>
  <sheetData>
    <row r="1" spans="1:2" x14ac:dyDescent="0.3">
      <c r="A1" s="10" t="s">
        <v>311</v>
      </c>
      <c r="B1" s="10" t="s">
        <v>312</v>
      </c>
    </row>
    <row r="2" spans="1:2" x14ac:dyDescent="0.3">
      <c r="A2" s="10" t="s">
        <v>0</v>
      </c>
      <c r="B2" s="10">
        <v>110000</v>
      </c>
    </row>
    <row r="3" spans="1:2" x14ac:dyDescent="0.3">
      <c r="A3" s="10" t="s">
        <v>10</v>
      </c>
      <c r="B3" s="10">
        <v>120000</v>
      </c>
    </row>
    <row r="4" spans="1:2" x14ac:dyDescent="0.3">
      <c r="A4" s="10" t="s">
        <v>20</v>
      </c>
      <c r="B4" s="10">
        <v>130000</v>
      </c>
    </row>
    <row r="5" spans="1:2" x14ac:dyDescent="0.3">
      <c r="A5" s="10" t="s">
        <v>30</v>
      </c>
      <c r="B5" s="10">
        <v>140000</v>
      </c>
    </row>
    <row r="6" spans="1:2" x14ac:dyDescent="0.3">
      <c r="A6" s="10" t="s">
        <v>40</v>
      </c>
      <c r="B6" s="10">
        <v>150000</v>
      </c>
    </row>
    <row r="7" spans="1:2" x14ac:dyDescent="0.3">
      <c r="A7" s="10" t="s">
        <v>50</v>
      </c>
      <c r="B7" s="10">
        <v>210000</v>
      </c>
    </row>
    <row r="8" spans="1:2" x14ac:dyDescent="0.3">
      <c r="A8" s="10" t="s">
        <v>60</v>
      </c>
      <c r="B8" s="10">
        <v>220000</v>
      </c>
    </row>
    <row r="9" spans="1:2" x14ac:dyDescent="0.3">
      <c r="A9" s="10" t="s">
        <v>70</v>
      </c>
      <c r="B9" s="10">
        <v>230000</v>
      </c>
    </row>
    <row r="10" spans="1:2" x14ac:dyDescent="0.3">
      <c r="A10" s="10" t="s">
        <v>80</v>
      </c>
      <c r="B10" s="10">
        <v>310000</v>
      </c>
    </row>
    <row r="11" spans="1:2" x14ac:dyDescent="0.3">
      <c r="A11" s="10" t="s">
        <v>90</v>
      </c>
      <c r="B11" s="10">
        <v>320000</v>
      </c>
    </row>
    <row r="12" spans="1:2" x14ac:dyDescent="0.3">
      <c r="A12" s="10" t="s">
        <v>100</v>
      </c>
      <c r="B12" s="10">
        <v>330000</v>
      </c>
    </row>
    <row r="13" spans="1:2" x14ac:dyDescent="0.3">
      <c r="A13" s="10" t="s">
        <v>110</v>
      </c>
      <c r="B13" s="10">
        <v>340000</v>
      </c>
    </row>
    <row r="14" spans="1:2" x14ac:dyDescent="0.3">
      <c r="A14" s="10" t="s">
        <v>120</v>
      </c>
      <c r="B14" s="10">
        <v>350000</v>
      </c>
    </row>
    <row r="15" spans="1:2" x14ac:dyDescent="0.3">
      <c r="A15" s="10" t="s">
        <v>130</v>
      </c>
      <c r="B15" s="10">
        <v>360000</v>
      </c>
    </row>
    <row r="16" spans="1:2" x14ac:dyDescent="0.3">
      <c r="A16" s="10" t="s">
        <v>140</v>
      </c>
      <c r="B16" s="10">
        <v>370000</v>
      </c>
    </row>
    <row r="17" spans="1:2" x14ac:dyDescent="0.3">
      <c r="A17" s="10" t="s">
        <v>150</v>
      </c>
      <c r="B17" s="10">
        <v>410000</v>
      </c>
    </row>
    <row r="18" spans="1:2" x14ac:dyDescent="0.3">
      <c r="A18" s="10" t="s">
        <v>160</v>
      </c>
      <c r="B18" s="10">
        <v>420000</v>
      </c>
    </row>
    <row r="19" spans="1:2" x14ac:dyDescent="0.3">
      <c r="A19" s="10" t="s">
        <v>170</v>
      </c>
      <c r="B19" s="10">
        <v>430000</v>
      </c>
    </row>
    <row r="20" spans="1:2" x14ac:dyDescent="0.3">
      <c r="A20" s="10" t="s">
        <v>180</v>
      </c>
      <c r="B20" s="10">
        <v>440000</v>
      </c>
    </row>
    <row r="21" spans="1:2" x14ac:dyDescent="0.3">
      <c r="A21" s="10" t="s">
        <v>190</v>
      </c>
      <c r="B21" s="10">
        <v>450000</v>
      </c>
    </row>
    <row r="22" spans="1:2" x14ac:dyDescent="0.3">
      <c r="A22" s="10" t="s">
        <v>200</v>
      </c>
      <c r="B22" s="10">
        <v>460000</v>
      </c>
    </row>
    <row r="23" spans="1:2" x14ac:dyDescent="0.3">
      <c r="A23" s="10" t="s">
        <v>210</v>
      </c>
      <c r="B23" s="10">
        <v>500000</v>
      </c>
    </row>
    <row r="24" spans="1:2" x14ac:dyDescent="0.3">
      <c r="A24" s="10" t="s">
        <v>220</v>
      </c>
      <c r="B24" s="10">
        <v>510000</v>
      </c>
    </row>
    <row r="25" spans="1:2" x14ac:dyDescent="0.3">
      <c r="A25" s="10" t="s">
        <v>230</v>
      </c>
      <c r="B25" s="10">
        <v>520000</v>
      </c>
    </row>
    <row r="26" spans="1:2" x14ac:dyDescent="0.3">
      <c r="A26" s="10" t="s">
        <v>240</v>
      </c>
      <c r="B26" s="10">
        <v>530000</v>
      </c>
    </row>
    <row r="27" spans="1:2" x14ac:dyDescent="0.3">
      <c r="A27" s="10" t="s">
        <v>250</v>
      </c>
      <c r="B27" s="10">
        <v>610000</v>
      </c>
    </row>
    <row r="28" spans="1:2" x14ac:dyDescent="0.3">
      <c r="A28" s="10" t="s">
        <v>260</v>
      </c>
      <c r="B28" s="10">
        <v>620000</v>
      </c>
    </row>
    <row r="29" spans="1:2" x14ac:dyDescent="0.3">
      <c r="A29" s="10" t="s">
        <v>270</v>
      </c>
      <c r="B29" s="10">
        <v>630000</v>
      </c>
    </row>
    <row r="30" spans="1:2" x14ac:dyDescent="0.3">
      <c r="A30" s="10" t="s">
        <v>280</v>
      </c>
      <c r="B30" s="10">
        <v>640000</v>
      </c>
    </row>
    <row r="31" spans="1:2" x14ac:dyDescent="0.3">
      <c r="A31" s="10" t="s">
        <v>290</v>
      </c>
      <c r="B31" s="10">
        <v>650000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sqref="A1:K31"/>
    </sheetView>
  </sheetViews>
  <sheetFormatPr defaultColWidth="9" defaultRowHeight="13.5" x14ac:dyDescent="0.3"/>
  <sheetData>
    <row r="1" spans="1:11" ht="13.9" x14ac:dyDescent="0.3">
      <c r="A1" s="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  <c r="I1" t="s">
        <v>308</v>
      </c>
      <c r="J1" t="s">
        <v>309</v>
      </c>
      <c r="K1" t="s">
        <v>310</v>
      </c>
    </row>
    <row r="2" spans="1:11" ht="13.9" x14ac:dyDescent="0.3">
      <c r="A2" s="2" t="s">
        <v>0</v>
      </c>
      <c r="B2" s="2">
        <v>174</v>
      </c>
      <c r="C2" s="3" t="s">
        <v>1</v>
      </c>
      <c r="D2" s="4" t="s">
        <v>2</v>
      </c>
      <c r="E2" s="4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spans="1:11" ht="13.9" x14ac:dyDescent="0.3">
      <c r="A3" s="2" t="s">
        <v>10</v>
      </c>
      <c r="B3" s="2">
        <v>2064</v>
      </c>
      <c r="C3" s="3" t="s">
        <v>11</v>
      </c>
      <c r="D3" s="4" t="s">
        <v>12</v>
      </c>
      <c r="E3" s="4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</row>
    <row r="4" spans="1:11" ht="13.9" x14ac:dyDescent="0.3">
      <c r="A4" s="2" t="s">
        <v>20</v>
      </c>
      <c r="B4" s="2">
        <v>21744</v>
      </c>
      <c r="C4" s="3" t="s">
        <v>21</v>
      </c>
      <c r="D4" s="4" t="s">
        <v>22</v>
      </c>
      <c r="E4" s="4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ht="13.9" x14ac:dyDescent="0.3">
      <c r="A5" s="2" t="s">
        <v>30</v>
      </c>
      <c r="B5" s="2">
        <v>20716</v>
      </c>
      <c r="C5" s="3" t="s">
        <v>31</v>
      </c>
      <c r="D5" s="4" t="s">
        <v>32</v>
      </c>
      <c r="E5" s="4" t="s">
        <v>33</v>
      </c>
      <c r="F5" s="5" t="s">
        <v>34</v>
      </c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</row>
    <row r="6" spans="1:11" ht="13.9" x14ac:dyDescent="0.3">
      <c r="A6" s="2" t="s">
        <v>40</v>
      </c>
      <c r="B6" s="2">
        <v>20345</v>
      </c>
      <c r="C6" s="3" t="s">
        <v>41</v>
      </c>
      <c r="D6" s="4" t="s">
        <v>42</v>
      </c>
      <c r="E6" s="4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  <c r="K6" s="5" t="s">
        <v>49</v>
      </c>
    </row>
    <row r="7" spans="1:11" ht="13.9" x14ac:dyDescent="0.3">
      <c r="A7" s="2" t="s">
        <v>50</v>
      </c>
      <c r="B7" s="2">
        <v>13137</v>
      </c>
      <c r="C7" s="3" t="s">
        <v>51</v>
      </c>
      <c r="D7" s="4" t="s">
        <v>52</v>
      </c>
      <c r="E7" s="4" t="s">
        <v>53</v>
      </c>
      <c r="F7" s="5" t="s">
        <v>54</v>
      </c>
      <c r="G7" s="5" t="s">
        <v>55</v>
      </c>
      <c r="H7" s="5" t="s">
        <v>56</v>
      </c>
      <c r="I7" s="5" t="s">
        <v>57</v>
      </c>
      <c r="J7" s="5" t="s">
        <v>58</v>
      </c>
      <c r="K7" s="5" t="s">
        <v>59</v>
      </c>
    </row>
    <row r="8" spans="1:11" ht="13.9" x14ac:dyDescent="0.3">
      <c r="A8" s="2" t="s">
        <v>60</v>
      </c>
      <c r="B8" s="2">
        <v>2759</v>
      </c>
      <c r="C8" s="3" t="s">
        <v>61</v>
      </c>
      <c r="D8" s="4" t="s">
        <v>62</v>
      </c>
      <c r="E8" s="4" t="s">
        <v>63</v>
      </c>
      <c r="F8" s="5" t="s">
        <v>64</v>
      </c>
      <c r="G8" s="5" t="s">
        <v>65</v>
      </c>
      <c r="H8" s="5" t="s">
        <v>66</v>
      </c>
      <c r="I8" s="5" t="s">
        <v>67</v>
      </c>
      <c r="J8" s="5" t="s">
        <v>68</v>
      </c>
      <c r="K8" s="5" t="s">
        <v>69</v>
      </c>
    </row>
    <row r="9" spans="1:11" ht="13.9" x14ac:dyDescent="0.3">
      <c r="A9" s="2" t="s">
        <v>70</v>
      </c>
      <c r="B9" s="2">
        <v>3968</v>
      </c>
      <c r="C9" s="3" t="s">
        <v>71</v>
      </c>
      <c r="D9" s="4" t="s">
        <v>72</v>
      </c>
      <c r="E9" s="4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</row>
    <row r="10" spans="1:11" ht="13.9" x14ac:dyDescent="0.3">
      <c r="A10" s="2" t="s">
        <v>80</v>
      </c>
      <c r="B10" s="2">
        <v>2070</v>
      </c>
      <c r="C10" s="3" t="s">
        <v>81</v>
      </c>
      <c r="D10" s="4" t="s">
        <v>82</v>
      </c>
      <c r="E10" s="4" t="s">
        <v>83</v>
      </c>
      <c r="F10" s="5" t="s">
        <v>84</v>
      </c>
      <c r="G10" s="5" t="s">
        <v>85</v>
      </c>
      <c r="H10" s="5" t="s">
        <v>86</v>
      </c>
      <c r="I10" s="5" t="s">
        <v>87</v>
      </c>
      <c r="J10" s="5" t="s">
        <v>88</v>
      </c>
      <c r="K10" s="5" t="s">
        <v>89</v>
      </c>
    </row>
    <row r="11" spans="1:11" ht="13.9" x14ac:dyDescent="0.3">
      <c r="A11" s="2" t="s">
        <v>90</v>
      </c>
      <c r="B11" s="2">
        <v>13288</v>
      </c>
      <c r="C11" s="3" t="s">
        <v>91</v>
      </c>
      <c r="D11" s="4" t="s">
        <v>92</v>
      </c>
      <c r="E11" s="4" t="s">
        <v>93</v>
      </c>
      <c r="F11" s="5" t="s">
        <v>94</v>
      </c>
      <c r="G11" s="5" t="s">
        <v>95</v>
      </c>
      <c r="H11" s="5" t="s">
        <v>96</v>
      </c>
      <c r="I11" s="5" t="s">
        <v>97</v>
      </c>
      <c r="J11" s="5" t="s">
        <v>98</v>
      </c>
      <c r="K11" s="5" t="s">
        <v>99</v>
      </c>
    </row>
    <row r="12" spans="1:11" ht="13.9" x14ac:dyDescent="0.3">
      <c r="A12" s="2" t="s">
        <v>100</v>
      </c>
      <c r="B12" s="2">
        <v>5829</v>
      </c>
      <c r="C12" s="3" t="s">
        <v>101</v>
      </c>
      <c r="D12" s="4" t="s">
        <v>102</v>
      </c>
      <c r="E12" s="4" t="s">
        <v>103</v>
      </c>
      <c r="F12" s="5" t="s">
        <v>104</v>
      </c>
      <c r="G12" s="5" t="s">
        <v>105</v>
      </c>
      <c r="H12" s="5" t="s">
        <v>106</v>
      </c>
      <c r="I12" s="5" t="s">
        <v>107</v>
      </c>
      <c r="J12" s="5" t="s">
        <v>108</v>
      </c>
      <c r="K12" s="5" t="s">
        <v>109</v>
      </c>
    </row>
    <row r="13" spans="1:11" ht="13.9" x14ac:dyDescent="0.3">
      <c r="A13" s="2" t="s">
        <v>110</v>
      </c>
      <c r="B13" s="2">
        <v>15647</v>
      </c>
      <c r="C13" s="3" t="s">
        <v>111</v>
      </c>
      <c r="D13" s="4" t="s">
        <v>112</v>
      </c>
      <c r="E13" s="4" t="s">
        <v>113</v>
      </c>
      <c r="F13" s="5" t="s">
        <v>114</v>
      </c>
      <c r="G13" s="5" t="s">
        <v>115</v>
      </c>
      <c r="H13" s="5" t="s">
        <v>116</v>
      </c>
      <c r="I13" s="5" t="s">
        <v>117</v>
      </c>
      <c r="J13" s="5" t="s">
        <v>118</v>
      </c>
      <c r="K13" s="5" t="s">
        <v>119</v>
      </c>
    </row>
    <row r="14" spans="1:11" ht="13.9" x14ac:dyDescent="0.3">
      <c r="A14" s="2" t="s">
        <v>120</v>
      </c>
      <c r="B14" s="2">
        <v>6444</v>
      </c>
      <c r="C14" s="3" t="s">
        <v>121</v>
      </c>
      <c r="D14" s="4" t="s">
        <v>122</v>
      </c>
      <c r="E14" s="4" t="s">
        <v>123</v>
      </c>
      <c r="F14" s="5" t="s">
        <v>124</v>
      </c>
      <c r="G14" s="5" t="s">
        <v>125</v>
      </c>
      <c r="H14" s="5" t="s">
        <v>126</v>
      </c>
      <c r="I14" s="5" t="s">
        <v>127</v>
      </c>
      <c r="J14" s="5" t="s">
        <v>128</v>
      </c>
      <c r="K14" s="5" t="s">
        <v>129</v>
      </c>
    </row>
    <row r="15" spans="1:11" ht="13.9" x14ac:dyDescent="0.3">
      <c r="A15" s="2" t="s">
        <v>130</v>
      </c>
      <c r="B15" s="2">
        <v>6896</v>
      </c>
      <c r="C15" s="3" t="s">
        <v>131</v>
      </c>
      <c r="D15" s="4" t="s">
        <v>132</v>
      </c>
      <c r="E15" s="4" t="s">
        <v>133</v>
      </c>
      <c r="F15" s="5" t="s">
        <v>134</v>
      </c>
      <c r="G15" s="5" t="s">
        <v>135</v>
      </c>
      <c r="H15" s="5" t="s">
        <v>136</v>
      </c>
      <c r="I15" s="5" t="s">
        <v>137</v>
      </c>
      <c r="J15" s="5" t="s">
        <v>138</v>
      </c>
      <c r="K15" s="5" t="s">
        <v>139</v>
      </c>
    </row>
    <row r="16" spans="1:11" ht="13.9" x14ac:dyDescent="0.3">
      <c r="A16" s="2" t="s">
        <v>140</v>
      </c>
      <c r="B16" s="2">
        <v>21943</v>
      </c>
      <c r="C16" s="3" t="s">
        <v>141</v>
      </c>
      <c r="D16" s="4" t="s">
        <v>142</v>
      </c>
      <c r="E16" s="4" t="s">
        <v>143</v>
      </c>
      <c r="F16" s="5" t="s">
        <v>144</v>
      </c>
      <c r="G16" s="5" t="s">
        <v>145</v>
      </c>
      <c r="H16" s="5" t="s">
        <v>146</v>
      </c>
      <c r="I16" s="5" t="s">
        <v>147</v>
      </c>
      <c r="J16" s="5" t="s">
        <v>148</v>
      </c>
      <c r="K16" s="5" t="s">
        <v>149</v>
      </c>
    </row>
    <row r="17" spans="1:11" ht="13.9" x14ac:dyDescent="0.3">
      <c r="A17" s="2" t="s">
        <v>150</v>
      </c>
      <c r="B17" s="2">
        <v>15042</v>
      </c>
      <c r="C17" s="3" t="s">
        <v>151</v>
      </c>
      <c r="D17" s="4" t="s">
        <v>152</v>
      </c>
      <c r="E17" s="4" t="s">
        <v>153</v>
      </c>
      <c r="F17" s="5" t="s">
        <v>154</v>
      </c>
      <c r="G17" s="5" t="s">
        <v>155</v>
      </c>
      <c r="H17" s="5" t="s">
        <v>156</v>
      </c>
      <c r="I17" s="5" t="s">
        <v>157</v>
      </c>
      <c r="J17" s="5" t="s">
        <v>158</v>
      </c>
      <c r="K17" s="5" t="s">
        <v>159</v>
      </c>
    </row>
    <row r="18" spans="1:11" ht="13.9" x14ac:dyDescent="0.3">
      <c r="A18" s="2" t="s">
        <v>160</v>
      </c>
      <c r="B18" s="2">
        <v>8310</v>
      </c>
      <c r="C18" s="3" t="s">
        <v>161</v>
      </c>
      <c r="D18" s="4" t="s">
        <v>162</v>
      </c>
      <c r="E18" s="4" t="s">
        <v>163</v>
      </c>
      <c r="F18" s="5" t="s">
        <v>164</v>
      </c>
      <c r="G18" s="5" t="s">
        <v>165</v>
      </c>
      <c r="H18" s="5" t="s">
        <v>166</v>
      </c>
      <c r="I18" s="5" t="s">
        <v>167</v>
      </c>
      <c r="J18" s="5" t="s">
        <v>168</v>
      </c>
      <c r="K18" s="5" t="s">
        <v>169</v>
      </c>
    </row>
    <row r="19" spans="1:11" ht="13.9" x14ac:dyDescent="0.3">
      <c r="A19" s="2" t="s">
        <v>170</v>
      </c>
      <c r="B19" s="2">
        <v>3769</v>
      </c>
      <c r="C19" s="3" t="s">
        <v>171</v>
      </c>
      <c r="D19" s="4" t="s">
        <v>172</v>
      </c>
      <c r="E19" s="4" t="s">
        <v>173</v>
      </c>
      <c r="F19" s="5" t="s">
        <v>174</v>
      </c>
      <c r="G19" s="5" t="s">
        <v>175</v>
      </c>
      <c r="H19" s="5" t="s">
        <v>176</v>
      </c>
      <c r="I19" s="5" t="s">
        <v>177</v>
      </c>
      <c r="J19" s="5" t="s">
        <v>178</v>
      </c>
      <c r="K19" s="5" t="s">
        <v>179</v>
      </c>
    </row>
    <row r="20" spans="1:11" ht="13.9" x14ac:dyDescent="0.3">
      <c r="A20" s="2" t="s">
        <v>180</v>
      </c>
      <c r="B20" s="2">
        <v>7589</v>
      </c>
      <c r="C20" s="3" t="s">
        <v>181</v>
      </c>
      <c r="D20" s="4" t="s">
        <v>182</v>
      </c>
      <c r="E20" s="4" t="s">
        <v>183</v>
      </c>
      <c r="F20" s="5" t="s">
        <v>184</v>
      </c>
      <c r="G20" s="5" t="s">
        <v>185</v>
      </c>
      <c r="H20" s="5" t="s">
        <v>186</v>
      </c>
      <c r="I20" s="5" t="s">
        <v>187</v>
      </c>
      <c r="J20" s="5" t="s">
        <v>188</v>
      </c>
      <c r="K20" s="5" t="s">
        <v>189</v>
      </c>
    </row>
    <row r="21" spans="1:11" ht="13.9" x14ac:dyDescent="0.3">
      <c r="A21" s="2" t="s">
        <v>190</v>
      </c>
      <c r="B21" s="2">
        <v>6303</v>
      </c>
      <c r="C21" s="3" t="s">
        <v>191</v>
      </c>
      <c r="D21" s="4" t="s">
        <v>192</v>
      </c>
      <c r="E21" s="4" t="s">
        <v>193</v>
      </c>
      <c r="F21" s="5" t="s">
        <v>194</v>
      </c>
      <c r="G21" s="5" t="s">
        <v>195</v>
      </c>
      <c r="H21" s="5" t="s">
        <v>196</v>
      </c>
      <c r="I21" s="5" t="s">
        <v>197</v>
      </c>
      <c r="J21" s="5" t="s">
        <v>198</v>
      </c>
      <c r="K21" s="5" t="s">
        <v>199</v>
      </c>
    </row>
    <row r="22" spans="1:11" ht="13.9" x14ac:dyDescent="0.3">
      <c r="A22" s="2" t="s">
        <v>200</v>
      </c>
      <c r="B22" s="2">
        <v>549</v>
      </c>
      <c r="C22" s="3" t="s">
        <v>201</v>
      </c>
      <c r="D22" s="4" t="s">
        <v>202</v>
      </c>
      <c r="E22" s="4" t="s">
        <v>203</v>
      </c>
      <c r="F22" s="5" t="s">
        <v>204</v>
      </c>
      <c r="G22" s="5" t="s">
        <v>205</v>
      </c>
      <c r="H22" s="5" t="s">
        <v>206</v>
      </c>
      <c r="I22" s="5" t="s">
        <v>207</v>
      </c>
      <c r="J22" s="5" t="s">
        <v>208</v>
      </c>
      <c r="K22" s="5" t="s">
        <v>209</v>
      </c>
    </row>
    <row r="23" spans="1:11" ht="13.9" x14ac:dyDescent="0.3">
      <c r="A23" s="2" t="s">
        <v>210</v>
      </c>
      <c r="B23" s="2">
        <v>2388</v>
      </c>
      <c r="C23" s="3" t="s">
        <v>211</v>
      </c>
      <c r="D23" s="4" t="s">
        <v>212</v>
      </c>
      <c r="E23" s="4" t="s">
        <v>213</v>
      </c>
      <c r="F23" s="5" t="s">
        <v>214</v>
      </c>
      <c r="G23" s="5" t="s">
        <v>215</v>
      </c>
      <c r="H23" s="5" t="s">
        <v>216</v>
      </c>
      <c r="I23" s="5" t="s">
        <v>217</v>
      </c>
      <c r="J23" s="5" t="s">
        <v>218</v>
      </c>
      <c r="K23" s="5" t="s">
        <v>219</v>
      </c>
    </row>
    <row r="24" spans="1:11" ht="13.9" x14ac:dyDescent="0.3">
      <c r="A24" s="2" t="s">
        <v>220</v>
      </c>
      <c r="B24" s="2">
        <v>7449</v>
      </c>
      <c r="C24" s="3" t="s">
        <v>221</v>
      </c>
      <c r="D24" s="4" t="s">
        <v>222</v>
      </c>
      <c r="E24" s="4" t="s">
        <v>223</v>
      </c>
      <c r="F24" s="5" t="s">
        <v>224</v>
      </c>
      <c r="G24" s="5" t="s">
        <v>225</v>
      </c>
      <c r="H24" s="5" t="s">
        <v>226</v>
      </c>
      <c r="I24" s="5" t="s">
        <v>227</v>
      </c>
      <c r="J24" s="5" t="s">
        <v>228</v>
      </c>
      <c r="K24" s="5" t="s">
        <v>229</v>
      </c>
    </row>
    <row r="25" spans="1:11" ht="13.9" x14ac:dyDescent="0.3">
      <c r="A25" s="2" t="s">
        <v>230</v>
      </c>
      <c r="B25" s="2">
        <v>8535</v>
      </c>
      <c r="C25" s="3" t="s">
        <v>231</v>
      </c>
      <c r="D25" s="4" t="s">
        <v>232</v>
      </c>
      <c r="E25" s="4" t="s">
        <v>233</v>
      </c>
      <c r="F25" s="5" t="s">
        <v>234</v>
      </c>
      <c r="G25" s="5" t="s">
        <v>235</v>
      </c>
      <c r="H25" s="5" t="s">
        <v>236</v>
      </c>
      <c r="I25" s="5" t="s">
        <v>237</v>
      </c>
      <c r="J25" s="5" t="s">
        <v>238</v>
      </c>
      <c r="K25" s="5" t="s">
        <v>239</v>
      </c>
    </row>
    <row r="26" spans="1:11" ht="13.9" x14ac:dyDescent="0.3">
      <c r="A26" s="2" t="s">
        <v>240</v>
      </c>
      <c r="B26" s="2">
        <v>9666</v>
      </c>
      <c r="C26" s="3" t="s">
        <v>241</v>
      </c>
      <c r="D26" s="4" t="s">
        <v>242</v>
      </c>
      <c r="E26" s="4" t="s">
        <v>243</v>
      </c>
      <c r="F26" s="5" t="s">
        <v>244</v>
      </c>
      <c r="G26" s="5" t="s">
        <v>245</v>
      </c>
      <c r="H26" s="5" t="s">
        <v>246</v>
      </c>
      <c r="I26" s="5" t="s">
        <v>247</v>
      </c>
      <c r="J26" s="5" t="s">
        <v>248</v>
      </c>
      <c r="K26" s="5" t="s">
        <v>249</v>
      </c>
    </row>
    <row r="27" spans="1:11" ht="13.9" x14ac:dyDescent="0.3">
      <c r="A27" s="2" t="s">
        <v>250</v>
      </c>
      <c r="B27" s="2">
        <v>7497</v>
      </c>
      <c r="C27" s="3" t="s">
        <v>251</v>
      </c>
      <c r="D27" s="4" t="s">
        <v>252</v>
      </c>
      <c r="E27" s="4" t="s">
        <v>253</v>
      </c>
      <c r="F27" s="5" t="s">
        <v>254</v>
      </c>
      <c r="G27" s="5" t="s">
        <v>255</v>
      </c>
      <c r="H27" s="5" t="s">
        <v>256</v>
      </c>
      <c r="I27" s="5" t="s">
        <v>257</v>
      </c>
      <c r="J27" s="5" t="s">
        <v>258</v>
      </c>
      <c r="K27" s="5" t="s">
        <v>259</v>
      </c>
    </row>
    <row r="28" spans="1:11" ht="13.9" x14ac:dyDescent="0.3">
      <c r="A28" s="2" t="s">
        <v>260</v>
      </c>
      <c r="B28" s="2">
        <v>3174</v>
      </c>
      <c r="C28" s="3" t="s">
        <v>261</v>
      </c>
      <c r="D28" s="4" t="s">
        <v>262</v>
      </c>
      <c r="E28" s="4" t="s">
        <v>263</v>
      </c>
      <c r="F28" s="5" t="s">
        <v>264</v>
      </c>
      <c r="G28" s="5" t="s">
        <v>265</v>
      </c>
      <c r="H28" s="5" t="s">
        <v>266</v>
      </c>
      <c r="I28" s="5" t="s">
        <v>267</v>
      </c>
      <c r="J28" s="5" t="s">
        <v>268</v>
      </c>
      <c r="K28" s="5" t="s">
        <v>269</v>
      </c>
    </row>
    <row r="29" spans="1:11" ht="13.9" x14ac:dyDescent="0.3">
      <c r="A29" s="2" t="s">
        <v>270</v>
      </c>
      <c r="B29" s="2">
        <v>9887</v>
      </c>
      <c r="C29" s="3" t="s">
        <v>271</v>
      </c>
      <c r="D29" s="4" t="s">
        <v>272</v>
      </c>
      <c r="E29" s="4" t="s">
        <v>273</v>
      </c>
      <c r="F29" s="5" t="s">
        <v>274</v>
      </c>
      <c r="G29" s="5" t="s">
        <v>275</v>
      </c>
      <c r="H29" s="5" t="s">
        <v>276</v>
      </c>
      <c r="I29" s="5" t="s">
        <v>277</v>
      </c>
      <c r="J29" s="5" t="s">
        <v>278</v>
      </c>
      <c r="K29" s="5" t="s">
        <v>279</v>
      </c>
    </row>
    <row r="30" spans="1:11" ht="13.9" x14ac:dyDescent="0.3">
      <c r="A30" s="2" t="s">
        <v>280</v>
      </c>
      <c r="B30" s="2">
        <v>5059</v>
      </c>
      <c r="C30" s="3" t="s">
        <v>281</v>
      </c>
      <c r="D30" s="4" t="s">
        <v>282</v>
      </c>
      <c r="E30" s="4" t="s">
        <v>283</v>
      </c>
      <c r="F30" s="5" t="s">
        <v>284</v>
      </c>
      <c r="G30" s="5" t="s">
        <v>285</v>
      </c>
      <c r="H30" s="5" t="s">
        <v>286</v>
      </c>
      <c r="I30" s="5" t="s">
        <v>287</v>
      </c>
      <c r="J30" s="5" t="s">
        <v>288</v>
      </c>
      <c r="K30" s="5" t="s">
        <v>289</v>
      </c>
    </row>
    <row r="31" spans="1:11" ht="13.9" x14ac:dyDescent="0.3">
      <c r="A31" s="6" t="s">
        <v>290</v>
      </c>
      <c r="B31" s="6">
        <v>5816</v>
      </c>
      <c r="C31" s="7" t="s">
        <v>291</v>
      </c>
      <c r="D31" s="8" t="s">
        <v>292</v>
      </c>
      <c r="E31" s="8" t="s">
        <v>293</v>
      </c>
      <c r="F31" s="9" t="s">
        <v>294</v>
      </c>
      <c r="G31" s="9" t="s">
        <v>295</v>
      </c>
      <c r="H31" s="9" t="s">
        <v>296</v>
      </c>
      <c r="I31" s="9" t="s">
        <v>297</v>
      </c>
      <c r="J31" s="9" t="s">
        <v>298</v>
      </c>
      <c r="K31" s="9" t="s">
        <v>299</v>
      </c>
    </row>
  </sheetData>
  <phoneticPr fontId="3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833398-230F-4FF8-BFFA-977DC15929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lzc</dc:creator>
  <cp:lastModifiedBy>志成 李</cp:lastModifiedBy>
  <dcterms:created xsi:type="dcterms:W3CDTF">2026-04-12T13:43:27Z</dcterms:created>
  <dcterms:modified xsi:type="dcterms:W3CDTF">2026-04-14T07:55:45Z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DB970AEEAE8449319702E214FA888BAE_11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
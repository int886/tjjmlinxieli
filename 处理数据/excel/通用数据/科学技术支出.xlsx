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47" documentId="13_ncr:1_{54622F62-24AC-4E78-BF50-E070B3A2D0C0}" xr6:coauthVersionLast="47" xr6:coauthVersionMax="47" xr10:uidLastSave="{7B1DF05A-FE7A-49AE-9398-F4026FDE13BE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E817F-D417-46CC-93F1-7DB60D374BF7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<sst xmlns="http://schemas.openxmlformats.org/spreadsheetml/2006/main" count="678" uniqueCount="346">
  <si>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</si>
  <si>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</si>
  <si>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</si>
  <si>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</si>
  <si>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</si>
  <si>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</si>
  <si>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</si>
  <si>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</si>
  <si>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</si>
  <si>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</si>
  <si>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</si>
  <si>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521.91</t>
  </si>
  <si>
    <t>488.70</t>
  </si>
  <si>
    <t>449.45</t>
  </si>
  <si>
    <t>410.96</t>
  </si>
  <si>
    <t>433.42</t>
  </si>
  <si>
    <t>425.87</t>
  </si>
  <si>
    <t>361.76</t>
  </si>
  <si>
    <t>285.78</t>
  </si>
  <si>
    <t>287.80</t>
  </si>
  <si>
    <t>282.71</t>
  </si>
  <si>
    <t>77.03</t>
  </si>
  <si>
    <t>62.16</t>
  </si>
  <si>
    <t>103.97</t>
  </si>
  <si>
    <t>118.17</t>
  </si>
  <si>
    <t>109.93</t>
  </si>
  <si>
    <t>106.68</t>
  </si>
  <si>
    <t>115.99</t>
  </si>
  <si>
    <t>125.18</t>
  </si>
  <si>
    <t>120.82</t>
  </si>
  <si>
    <t>109.00</t>
  </si>
  <si>
    <t>131.04</t>
  </si>
  <si>
    <t>118.13</t>
  </si>
  <si>
    <t>112.64</t>
  </si>
  <si>
    <t>101.76</t>
  </si>
  <si>
    <t>90.70</t>
  </si>
  <si>
    <t>77.04</t>
  </si>
  <si>
    <t>69.08</t>
  </si>
  <si>
    <t>73.18</t>
  </si>
  <si>
    <t>45.50</t>
  </si>
  <si>
    <t>51.32</t>
  </si>
  <si>
    <t>84.14</t>
  </si>
  <si>
    <t>61.01</t>
  </si>
  <si>
    <t>83.38</t>
  </si>
  <si>
    <t>66.09</t>
  </si>
  <si>
    <t>57.72</t>
  </si>
  <si>
    <t>59.08</t>
  </si>
  <si>
    <t>50.25</t>
  </si>
  <si>
    <t>34.56</t>
  </si>
  <si>
    <t>37.47</t>
  </si>
  <si>
    <t>54.26</t>
  </si>
  <si>
    <t>74.97</t>
  </si>
  <si>
    <t>42.99</t>
  </si>
  <si>
    <t>35.28</t>
  </si>
  <si>
    <t>32.38</t>
  </si>
  <si>
    <t>28.49</t>
  </si>
  <si>
    <t>26.05</t>
  </si>
  <si>
    <t>33.67</t>
  </si>
  <si>
    <t>35.72</t>
  </si>
  <si>
    <t>32.87</t>
  </si>
  <si>
    <t>78.93</t>
  </si>
  <si>
    <t>74.35</t>
  </si>
  <si>
    <t>78.45</t>
  </si>
  <si>
    <t>72.71</t>
  </si>
  <si>
    <t>74.03</t>
  </si>
  <si>
    <t>75.05</t>
  </si>
  <si>
    <t>57.38</t>
  </si>
  <si>
    <t>61.61</t>
  </si>
  <si>
    <t>68.92</t>
  </si>
  <si>
    <t>108.82</t>
  </si>
  <si>
    <t>38.54</t>
  </si>
  <si>
    <t>22.38</t>
  </si>
  <si>
    <t>38.43</t>
  </si>
  <si>
    <t>39.94</t>
  </si>
  <si>
    <t>39.18</t>
  </si>
  <si>
    <t>41.10</t>
  </si>
  <si>
    <t>46.84</t>
  </si>
  <si>
    <t>41.01</t>
  </si>
  <si>
    <t>41.39</t>
  </si>
  <si>
    <t>36.45</t>
  </si>
  <si>
    <t>49.41</t>
  </si>
  <si>
    <t>46.47</t>
  </si>
  <si>
    <t>43.52</t>
  </si>
  <si>
    <t>42.98</t>
  </si>
  <si>
    <t>42.16</t>
  </si>
  <si>
    <t>39.52</t>
  </si>
  <si>
    <t>46.91</t>
  </si>
  <si>
    <t>44.92</t>
  </si>
  <si>
    <t>42.91</t>
  </si>
  <si>
    <t>39.46</t>
  </si>
  <si>
    <t>528.05</t>
  </si>
  <si>
    <t>386.25</t>
  </si>
  <si>
    <t>422.70</t>
  </si>
  <si>
    <t>406.20</t>
  </si>
  <si>
    <t>389.54</t>
  </si>
  <si>
    <t>426.37</t>
  </si>
  <si>
    <t>389.90</t>
  </si>
  <si>
    <t>341.71</t>
  </si>
  <si>
    <t>271.85</t>
  </si>
  <si>
    <t>262.29</t>
  </si>
  <si>
    <t>761.46</t>
  </si>
  <si>
    <t>678.32</t>
  </si>
  <si>
    <t>671.59</t>
  </si>
  <si>
    <t>584.39</t>
  </si>
  <si>
    <t>572.04</t>
  </si>
  <si>
    <t>507.31</t>
  </si>
  <si>
    <t>428.01</t>
  </si>
  <si>
    <t>381.02</t>
  </si>
  <si>
    <t>371.96</t>
  </si>
  <si>
    <t>327.10</t>
  </si>
  <si>
    <t>787.48</t>
  </si>
  <si>
    <t>680.89</t>
  </si>
  <si>
    <t>578.60</t>
  </si>
  <si>
    <t>472.13</t>
  </si>
  <si>
    <t>516.06</t>
  </si>
  <si>
    <t>379.66</t>
  </si>
  <si>
    <t>303.50</t>
  </si>
  <si>
    <t>269.04</t>
  </si>
  <si>
    <t>250.79</t>
  </si>
  <si>
    <t>207.99</t>
  </si>
  <si>
    <t>535.34</t>
  </si>
  <si>
    <t>507.56</t>
  </si>
  <si>
    <t>416.09</t>
  </si>
  <si>
    <t>369.98</t>
  </si>
  <si>
    <t>377.95</t>
  </si>
  <si>
    <t>294.81</t>
  </si>
  <si>
    <t>260.41</t>
  </si>
  <si>
    <t>259.50</t>
  </si>
  <si>
    <t>147.94</t>
  </si>
  <si>
    <t>129.59</t>
  </si>
  <si>
    <t>146.92</t>
  </si>
  <si>
    <t>153.00</t>
  </si>
  <si>
    <t>155.11</t>
  </si>
  <si>
    <t>149.44</t>
  </si>
  <si>
    <t>133.41</t>
  </si>
  <si>
    <t>115.25</t>
  </si>
  <si>
    <t>99.44</t>
  </si>
  <si>
    <t>80.28</t>
  </si>
  <si>
    <t>76.60</t>
  </si>
  <si>
    <t>67.40</t>
  </si>
  <si>
    <t>244.15</t>
  </si>
  <si>
    <t>228.43</t>
  </si>
  <si>
    <t>210.95</t>
  </si>
  <si>
    <t>195.74</t>
  </si>
  <si>
    <t>182.92</t>
  </si>
  <si>
    <t>147.09</t>
  </si>
  <si>
    <t>120.09</t>
  </si>
  <si>
    <t>83.12</t>
  </si>
  <si>
    <t>74.79</t>
  </si>
  <si>
    <t>58.37</t>
  </si>
  <si>
    <t>322.70</t>
  </si>
  <si>
    <t>313.26</t>
  </si>
  <si>
    <t>372.32</t>
  </si>
  <si>
    <t>298.62</t>
  </si>
  <si>
    <t>305.76</t>
  </si>
  <si>
    <t>232.74</t>
  </si>
  <si>
    <t>195.77</t>
  </si>
  <si>
    <t>167.00</t>
  </si>
  <si>
    <t>159.05</t>
  </si>
  <si>
    <t>147.06</t>
  </si>
  <si>
    <t>470.10</t>
  </si>
  <si>
    <t>409.20</t>
  </si>
  <si>
    <t>329.25</t>
  </si>
  <si>
    <t>254.28</t>
  </si>
  <si>
    <t>211.07</t>
  </si>
  <si>
    <t>155.67</t>
  </si>
  <si>
    <t>137.94</t>
  </si>
  <si>
    <t>96.10</t>
  </si>
  <si>
    <t>83.25</t>
  </si>
  <si>
    <t>81.25</t>
  </si>
  <si>
    <t>397.84</t>
  </si>
  <si>
    <t>376.55</t>
  </si>
  <si>
    <t>314.57</t>
  </si>
  <si>
    <t>287.85</t>
  </si>
  <si>
    <t>319.28</t>
  </si>
  <si>
    <t>268.49</t>
  </si>
  <si>
    <t>234.27</t>
  </si>
  <si>
    <t>190.11</t>
  </si>
  <si>
    <t>157.36</t>
  </si>
  <si>
    <t>134.46</t>
  </si>
  <si>
    <t>314.12</t>
  </si>
  <si>
    <t>279.65</t>
  </si>
  <si>
    <t>217.30</t>
  </si>
  <si>
    <t>220.66</t>
  </si>
  <si>
    <t>171.92</t>
  </si>
  <si>
    <t>129.94</t>
  </si>
  <si>
    <t>91.42</t>
  </si>
  <si>
    <t>71.44</t>
  </si>
  <si>
    <t>66.26</t>
  </si>
  <si>
    <t>59.38</t>
  </si>
  <si>
    <t>980.46</t>
  </si>
  <si>
    <t>983.78</t>
  </si>
  <si>
    <t>982.76</t>
  </si>
  <si>
    <t>955.73</t>
  </si>
  <si>
    <t>1168.79</t>
  </si>
  <si>
    <t>1034.71</t>
  </si>
  <si>
    <t>823.89</t>
  </si>
  <si>
    <t>742.97</t>
  </si>
  <si>
    <t>569.55</t>
  </si>
  <si>
    <t>274.33</t>
  </si>
  <si>
    <t>107.31</t>
  </si>
  <si>
    <t>104.12</t>
  </si>
  <si>
    <t>71.13</t>
  </si>
  <si>
    <t>72.33</t>
  </si>
  <si>
    <t>64.43</t>
  </si>
  <si>
    <t>60.04</t>
  </si>
  <si>
    <t>45.20</t>
  </si>
  <si>
    <t>49.63</t>
  </si>
  <si>
    <t>59.92</t>
  </si>
  <si>
    <t>42.81</t>
  </si>
  <si>
    <t>69.54</t>
  </si>
  <si>
    <t>69.16</t>
  </si>
  <si>
    <t>40.47</t>
  </si>
  <si>
    <t>35.67</t>
  </si>
  <si>
    <t>30.10</t>
  </si>
  <si>
    <t>15.04</t>
  </si>
  <si>
    <t>12.47</t>
  </si>
  <si>
    <t>15.69</t>
  </si>
  <si>
    <t>12.38</t>
  </si>
  <si>
    <t>13.53</t>
  </si>
  <si>
    <t>102.54</t>
  </si>
  <si>
    <t>98.89</t>
  </si>
  <si>
    <t>92.64</t>
  </si>
  <si>
    <t>82.87</t>
  </si>
  <si>
    <t>79.23</t>
  </si>
  <si>
    <t>68.59</t>
  </si>
  <si>
    <t>59.31</t>
  </si>
  <si>
    <t>51.62</t>
  </si>
  <si>
    <t>45.67</t>
  </si>
  <si>
    <t>38.16</t>
  </si>
  <si>
    <t>244.12</t>
  </si>
  <si>
    <t>229.12</t>
  </si>
  <si>
    <t>273.12</t>
  </si>
  <si>
    <t>181.70</t>
  </si>
  <si>
    <t>184.95</t>
  </si>
  <si>
    <t>147.91</t>
  </si>
  <si>
    <t>106.57</t>
  </si>
  <si>
    <t>101.09</t>
  </si>
  <si>
    <t>96.69</t>
  </si>
  <si>
    <t>81.76</t>
  </si>
  <si>
    <t>80.06</t>
  </si>
  <si>
    <t>88.86</t>
  </si>
  <si>
    <t>88.34</t>
  </si>
  <si>
    <t>113.19</t>
  </si>
  <si>
    <t>114.13</t>
  </si>
  <si>
    <t>102.88</t>
  </si>
  <si>
    <t>87.72</t>
  </si>
  <si>
    <t>69.30</t>
  </si>
  <si>
    <t>58.68</t>
  </si>
  <si>
    <t>44.34</t>
  </si>
  <si>
    <t>61.33</t>
  </si>
  <si>
    <t>58.97</t>
  </si>
  <si>
    <t>61.85</t>
  </si>
  <si>
    <t>64.94</t>
  </si>
  <si>
    <t>59.00</t>
  </si>
  <si>
    <t>54.94</t>
  </si>
  <si>
    <t>53.42</t>
  </si>
  <si>
    <t>46.86</t>
  </si>
  <si>
    <t>48.56</t>
  </si>
  <si>
    <t>43.15</t>
  </si>
  <si>
    <t>133.68</t>
  </si>
  <si>
    <t>109.78</t>
  </si>
  <si>
    <t>93.00</t>
  </si>
  <si>
    <t>56.45</t>
  </si>
  <si>
    <t>71.38</t>
  </si>
  <si>
    <t>87.22</t>
  </si>
  <si>
    <t>79.34</t>
  </si>
  <si>
    <t>62.01</t>
  </si>
  <si>
    <t>57.28</t>
  </si>
  <si>
    <t>44.86</t>
  </si>
  <si>
    <t>58.60</t>
  </si>
  <si>
    <t>47.69</t>
  </si>
  <si>
    <t>34.95</t>
  </si>
  <si>
    <t>32.07</t>
  </si>
  <si>
    <t>29.39</t>
  </si>
  <si>
    <t>25.74</t>
  </si>
  <si>
    <t>25.83</t>
  </si>
  <si>
    <t>26.23</t>
  </si>
  <si>
    <t>29.85</t>
  </si>
  <si>
    <t>21.16</t>
  </si>
  <si>
    <t>11.86</t>
  </si>
  <si>
    <t>9.45</t>
  </si>
  <si>
    <t>12.19</t>
  </si>
  <si>
    <t>10.56</t>
  </si>
  <si>
    <t>10.37</t>
  </si>
  <si>
    <t>12.80</t>
  </si>
  <si>
    <t>11.94</t>
  </si>
  <si>
    <t>10.90</t>
  </si>
  <si>
    <t>11.22</t>
  </si>
  <si>
    <t>10.39</t>
  </si>
  <si>
    <t>28.06</t>
  </si>
  <si>
    <t>25.56</t>
  </si>
  <si>
    <t>29.00</t>
  </si>
  <si>
    <t>27.91</t>
  </si>
  <si>
    <t>31.26</t>
  </si>
  <si>
    <t>34.02</t>
  </si>
  <si>
    <t>25.55</t>
  </si>
  <si>
    <t>18.26</t>
  </si>
  <si>
    <t>17.25</t>
  </si>
  <si>
    <t>11.66</t>
  </si>
  <si>
    <t>64.27</t>
  </si>
  <si>
    <t>53.53</t>
  </si>
  <si>
    <t>42.86</t>
  </si>
  <si>
    <t>41.25</t>
  </si>
  <si>
    <t>40.81</t>
  </si>
  <si>
    <t>42.25</t>
  </si>
  <si>
    <t>44.98</t>
  </si>
  <si>
    <t>41.64</t>
  </si>
  <si>
    <t>40.34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</si>
  <si>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</si>
  <si>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</si>
  <si>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</si>
  <si>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</si>
  <si>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</si>
  <si>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</si>
  <si>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</si>
  <si>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</si>
  <si>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</si>
  <si>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</si>
  <si>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</si>
  <si>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</si>
  <si>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</si>
  <si>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</si>
  <si>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</si>
  <si>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</si>
  <si>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</si>
  <si>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</si>
  <si>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</si>
  <si>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</si>
  <si>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</si>
  <si>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</si>
  <si>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</si>
  <si>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</si>
  <si>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</si>
  <si>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</si>
  <si>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</si>
  <si>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</si>
  <si>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</si>
  <si>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</si>
  <si>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</si>
  <si>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属性</t>
  </si>
  <si>
    <t>行政区域</t>
    <phoneticPr fontId="2" type="noConversion"/>
  </si>
  <si>
    <t>id</t>
    <phoneticPr fontId="2" type="noConversion"/>
  </si>
  <si>
    <t>省份</t>
  </si>
  <si>
    <t>行政区划代码</t>
  </si>
  <si>
    <t>科技技术支出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</si>
</sst>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27F539-F8A5-4EE7-9BEB-269175700E9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C35106-5A3F-4D7C-90D0-457EB58812BD}" name="表1_" displayName="表1_" ref="A1:E301" tableType="queryTable" totalsRowShown="0">
  <autoFilter ref="A1:E301" xr:uid="{E2C35106-5A3F-4D7C-90D0-457EB58812BD}"/>
  <tableColumns count="5">
    <tableColumn id="1" xr3:uid="{97C5BD34-ABE6-40B6-813B-2AD52AAB0FA1}" uniqueName="1" name="地区" queryTableFieldId="1"/>
    <tableColumn id="2" xr3:uid="{F37D8920-4107-4E09-B63F-CED86A408B32}" uniqueName="2" name="属性" queryTableFieldId="2"/>
    <tableColumn id="3" xr3:uid="{EAFE54B0-6291-4315-90A4-6EF5FFD50D7A}" uniqueName="3" name="科技技术支出" queryTableFieldId="3"/>
    <tableColumn id="4" xr3:uid="{D7AFD478-0240-4156-A807-8451DD5466CD}" uniqueName="4" name="行政区域" queryTableFieldId="4" dataDxfId="1">
      <calculatedColumnFormula>VLOOKUP(表1_[[#This Row],[地区]],Sheet2!A:B,2,0)</calculatedColumnFormula>
    </tableColumn>
    <tableColumn id="5" xr3:uid="{06E8F2F7-A648-458A-B180-0D89A776385D}" uniqueName="5" name="id" queryTableFieldId="5" dataDxfId="0">
      <calculatedColumnFormula>表1_[[#This Row],[属性]]+表1_[[#This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0F341-6ADD-4156-A17A-FBF0F8197C19}" name="表1" displayName="表1" ref="A1:K31" totalsRowShown="0" headerRowDxfId="2" dataDxfId="3">
  <autoFilter ref="A1:K31" xr:uid="{9C30F341-6ADD-4156-A17A-FBF0F8197C19}"/>
  <tableColumns count="11">
    <tableColumn id="1" xr3:uid="{788B131C-CB60-449D-85E0-C54C3AB64756}" name="地区" dataDxfId="14"/>
    <tableColumn id="2" xr3:uid="{6DF9D7E1-FCC3-46B1-84AE-7A0B4B1D88BF}" name="2023年" dataDxfId="13"/>
    <tableColumn id="3" xr3:uid="{6150EACC-0498-4D71-A765-9ED93A20D5E7}" name="2022年" dataDxfId="12"/>
    <tableColumn id="4" xr3:uid="{C81CD8D4-7EFB-433B-B36A-B62A582F96EB}" name="2021年" dataDxfId="11"/>
    <tableColumn id="5" xr3:uid="{E04B63D6-2F09-44BB-A98D-E46C5E640C02}" name="2020年" dataDxfId="10"/>
    <tableColumn id="6" xr3:uid="{2DB078D1-FCBC-4B36-A0D6-C4F9E851AFE2}" name="2019年" dataDxfId="9"/>
    <tableColumn id="7" xr3:uid="{D84C7727-9A0E-4D32-A6DE-9DC086A5AD49}" name="2018年" dataDxfId="8"/>
    <tableColumn id="8" xr3:uid="{FCACAD2F-A507-46C4-B1DA-A7F4521BB82F}" name="2017年" dataDxfId="7"/>
    <tableColumn id="9" xr3:uid="{CEAC9AE2-9BA8-40F1-BE7B-FA87539BB24D}" name="2016年" dataDxfId="6"/>
    <tableColumn id="10" xr3:uid="{DC220E9A-BDAE-4088-AB10-EEEF01D19B49}" name="2015年" dataDxfId="5"/>
    <tableColumn id="11" xr3:uid="{FDB8EF53-4AA9-4BC5-AAC0-5E6131EAF82D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6D6C-3486-4C5A-B28F-E23AEEF7DB03}">
  <dimension ref="A1:E301"/>
  <sheetViews>
    <sheetView tabSelected="1" workbookViewId="0">
      <selection activeCell="C2" sqref="C2"/>
    </sheetView>
  </sheetViews>
  <sheetFormatPr defaultRowHeight="13.5" x14ac:dyDescent="0.3"/>
  <cols>
    <col min="1" max="2" width="7.265625" bestFit="1" customWidth="1"/>
    <col min="3" max="3" width="8.06640625" bestFit="1" customWidth="1"/>
  </cols>
  <sheetData>
    <row r="1" spans="1:5" x14ac:dyDescent="0.3">
      <c r="A1" t="s">
        <v>0</v>
      </c>
      <c r="B1" t="s">
        <v>340</v>
      </c>
      <c r="C1" t="s">
        <v>345</v>
      </c>
      <c r="D1" t="s">
        <v>341</v>
      </c>
      <c r="E1" t="s">
        <v>342</v>
      </c>
    </row>
    <row r="2" spans="1:5" x14ac:dyDescent="0.3">
      <c r="A2" t="s">
        <v>309</v>
      </c>
      <c r="B2">
        <v>2023</v>
      </c>
      <c r="C2">
        <v>521.91</v>
      </c>
      <c r="D2">
        <f>VLOOKUP(表1_[[#This Row],[地区]],Sheet2!A:B,2,0)</f>
        <v>110000</v>
      </c>
      <c r="E2">
        <f>表1_[[#This Row],[属性]]+表1_[[#This Row],[行政区域]]</f>
        <v>112023</v>
      </c>
    </row>
    <row r="3" spans="1:5" x14ac:dyDescent="0.3">
      <c r="A3" t="s">
        <v>309</v>
      </c>
      <c r="B3">
        <v>2022</v>
      </c>
      <c r="C3">
        <v>488.7</v>
      </c>
      <c r="D3">
        <f>VLOOKUP(表1_[[#This Row],[地区]],Sheet2!A:B,2,0)</f>
        <v>110000</v>
      </c>
      <c r="E3">
        <f>表1_[[#This Row],[属性]]+表1_[[#This Row],[行政区域]]</f>
        <v>112022</v>
      </c>
    </row>
    <row r="4" spans="1:5" x14ac:dyDescent="0.3">
      <c r="A4" t="s">
        <v>309</v>
      </c>
      <c r="B4">
        <v>2021</v>
      </c>
      <c r="C4">
        <v>449.45</v>
      </c>
      <c r="D4">
        <f>VLOOKUP(表1_[[#This Row],[地区]],Sheet2!A:B,2,0)</f>
        <v>110000</v>
      </c>
      <c r="E4">
        <f>表1_[[#This Row],[属性]]+表1_[[#This Row],[行政区域]]</f>
        <v>112021</v>
      </c>
    </row>
    <row r="5" spans="1:5" x14ac:dyDescent="0.3">
      <c r="A5" t="s">
        <v>309</v>
      </c>
      <c r="B5">
        <v>2020</v>
      </c>
      <c r="C5">
        <v>410.96</v>
      </c>
      <c r="D5">
        <f>VLOOKUP(表1_[[#This Row],[地区]],Sheet2!A:B,2,0)</f>
        <v>110000</v>
      </c>
      <c r="E5">
        <f>表1_[[#This Row],[属性]]+表1_[[#This Row],[行政区域]]</f>
        <v>112020</v>
      </c>
    </row>
    <row r="6" spans="1:5" x14ac:dyDescent="0.3">
      <c r="A6" t="s">
        <v>309</v>
      </c>
      <c r="B6">
        <v>2019</v>
      </c>
      <c r="C6">
        <v>433.42</v>
      </c>
      <c r="D6">
        <f>VLOOKUP(表1_[[#This Row],[地区]],Sheet2!A:B,2,0)</f>
        <v>110000</v>
      </c>
      <c r="E6">
        <f>表1_[[#This Row],[属性]]+表1_[[#This Row],[行政区域]]</f>
        <v>112019</v>
      </c>
    </row>
    <row r="7" spans="1:5" x14ac:dyDescent="0.3">
      <c r="A7" t="s">
        <v>309</v>
      </c>
      <c r="B7">
        <v>2018</v>
      </c>
      <c r="C7">
        <v>425.87</v>
      </c>
      <c r="D7">
        <f>VLOOKUP(表1_[[#This Row],[地区]],Sheet2!A:B,2,0)</f>
        <v>110000</v>
      </c>
      <c r="E7">
        <f>表1_[[#This Row],[属性]]+表1_[[#This Row],[行政区域]]</f>
        <v>112018</v>
      </c>
    </row>
    <row r="8" spans="1:5" x14ac:dyDescent="0.3">
      <c r="A8" t="s">
        <v>309</v>
      </c>
      <c r="B8">
        <v>2017</v>
      </c>
      <c r="C8">
        <v>361.76</v>
      </c>
      <c r="D8">
        <f>VLOOKUP(表1_[[#This Row],[地区]],Sheet2!A:B,2,0)</f>
        <v>110000</v>
      </c>
      <c r="E8">
        <f>表1_[[#This Row],[属性]]+表1_[[#This Row],[行政区域]]</f>
        <v>112017</v>
      </c>
    </row>
    <row r="9" spans="1:5" x14ac:dyDescent="0.3">
      <c r="A9" t="s">
        <v>309</v>
      </c>
      <c r="B9">
        <v>2016</v>
      </c>
      <c r="C9">
        <v>285.77999999999997</v>
      </c>
      <c r="D9">
        <f>VLOOKUP(表1_[[#This Row],[地区]],Sheet2!A:B,2,0)</f>
        <v>110000</v>
      </c>
      <c r="E9">
        <f>表1_[[#This Row],[属性]]+表1_[[#This Row],[行政区域]]</f>
        <v>112016</v>
      </c>
    </row>
    <row r="10" spans="1:5" x14ac:dyDescent="0.3">
      <c r="A10" t="s">
        <v>309</v>
      </c>
      <c r="B10">
        <v>2015</v>
      </c>
      <c r="C10">
        <v>287.8</v>
      </c>
      <c r="D10">
        <f>VLOOKUP(表1_[[#This Row],[地区]],Sheet2!A:B,2,0)</f>
        <v>110000</v>
      </c>
      <c r="E10">
        <f>表1_[[#This Row],[属性]]+表1_[[#This Row],[行政区域]]</f>
        <v>112015</v>
      </c>
    </row>
    <row r="11" spans="1:5" x14ac:dyDescent="0.3">
      <c r="A11" t="s">
        <v>309</v>
      </c>
      <c r="B11">
        <v>2014</v>
      </c>
      <c r="C11">
        <v>282.70999999999998</v>
      </c>
      <c r="D11">
        <f>VLOOKUP(表1_[[#This Row],[地区]],Sheet2!A:B,2,0)</f>
        <v>110000</v>
      </c>
      <c r="E11">
        <f>表1_[[#This Row],[属性]]+表1_[[#This Row],[行政区域]]</f>
        <v>112014</v>
      </c>
    </row>
    <row r="12" spans="1:5" x14ac:dyDescent="0.3">
      <c r="A12" t="s">
        <v>310</v>
      </c>
      <c r="B12">
        <v>2023</v>
      </c>
      <c r="C12">
        <v>77.03</v>
      </c>
      <c r="D12">
        <f>VLOOKUP(表1_[[#This Row],[地区]],Sheet2!A:B,2,0)</f>
        <v>120000</v>
      </c>
      <c r="E12">
        <f>表1_[[#This Row],[属性]]+表1_[[#This Row],[行政区域]]</f>
        <v>122023</v>
      </c>
    </row>
    <row r="13" spans="1:5" x14ac:dyDescent="0.3">
      <c r="A13" t="s">
        <v>310</v>
      </c>
      <c r="B13">
        <v>2022</v>
      </c>
      <c r="C13">
        <v>62.16</v>
      </c>
      <c r="D13">
        <f>VLOOKUP(表1_[[#This Row],[地区]],Sheet2!A:B,2,0)</f>
        <v>120000</v>
      </c>
      <c r="E13">
        <f>表1_[[#This Row],[属性]]+表1_[[#This Row],[行政区域]]</f>
        <v>122022</v>
      </c>
    </row>
    <row r="14" spans="1:5" x14ac:dyDescent="0.3">
      <c r="A14" t="s">
        <v>310</v>
      </c>
      <c r="B14">
        <v>2021</v>
      </c>
      <c r="C14">
        <v>103.97</v>
      </c>
      <c r="D14">
        <f>VLOOKUP(表1_[[#This Row],[地区]],Sheet2!A:B,2,0)</f>
        <v>120000</v>
      </c>
      <c r="E14">
        <f>表1_[[#This Row],[属性]]+表1_[[#This Row],[行政区域]]</f>
        <v>122021</v>
      </c>
    </row>
    <row r="15" spans="1:5" x14ac:dyDescent="0.3">
      <c r="A15" t="s">
        <v>310</v>
      </c>
      <c r="B15">
        <v>2020</v>
      </c>
      <c r="C15">
        <v>118.17</v>
      </c>
      <c r="D15">
        <f>VLOOKUP(表1_[[#This Row],[地区]],Sheet2!A:B,2,0)</f>
        <v>120000</v>
      </c>
      <c r="E15">
        <f>表1_[[#This Row],[属性]]+表1_[[#This Row],[行政区域]]</f>
        <v>122020</v>
      </c>
    </row>
    <row r="16" spans="1:5" x14ac:dyDescent="0.3">
      <c r="A16" t="s">
        <v>310</v>
      </c>
      <c r="B16">
        <v>2019</v>
      </c>
      <c r="C16">
        <v>109.93</v>
      </c>
      <c r="D16">
        <f>VLOOKUP(表1_[[#This Row],[地区]],Sheet2!A:B,2,0)</f>
        <v>120000</v>
      </c>
      <c r="E16">
        <f>表1_[[#This Row],[属性]]+表1_[[#This Row],[行政区域]]</f>
        <v>122019</v>
      </c>
    </row>
    <row r="17" spans="1:5" x14ac:dyDescent="0.3">
      <c r="A17" t="s">
        <v>310</v>
      </c>
      <c r="B17">
        <v>2018</v>
      </c>
      <c r="C17">
        <v>106.68</v>
      </c>
      <c r="D17">
        <f>VLOOKUP(表1_[[#This Row],[地区]],Sheet2!A:B,2,0)</f>
        <v>120000</v>
      </c>
      <c r="E17">
        <f>表1_[[#This Row],[属性]]+表1_[[#This Row],[行政区域]]</f>
        <v>122018</v>
      </c>
    </row>
    <row r="18" spans="1:5" x14ac:dyDescent="0.3">
      <c r="A18" t="s">
        <v>310</v>
      </c>
      <c r="B18">
        <v>2017</v>
      </c>
      <c r="C18">
        <v>115.99</v>
      </c>
      <c r="D18">
        <f>VLOOKUP(表1_[[#This Row],[地区]],Sheet2!A:B,2,0)</f>
        <v>120000</v>
      </c>
      <c r="E18">
        <f>表1_[[#This Row],[属性]]+表1_[[#This Row],[行政区域]]</f>
        <v>122017</v>
      </c>
    </row>
    <row r="19" spans="1:5" x14ac:dyDescent="0.3">
      <c r="A19" t="s">
        <v>310</v>
      </c>
      <c r="B19">
        <v>2016</v>
      </c>
      <c r="C19">
        <v>125.18</v>
      </c>
      <c r="D19">
        <f>VLOOKUP(表1_[[#This Row],[地区]],Sheet2!A:B,2,0)</f>
        <v>120000</v>
      </c>
      <c r="E19">
        <f>表1_[[#This Row],[属性]]+表1_[[#This Row],[行政区域]]</f>
        <v>122016</v>
      </c>
    </row>
    <row r="20" spans="1:5" x14ac:dyDescent="0.3">
      <c r="A20" t="s">
        <v>310</v>
      </c>
      <c r="B20">
        <v>2015</v>
      </c>
      <c r="C20">
        <v>120.82</v>
      </c>
      <c r="D20">
        <f>VLOOKUP(表1_[[#This Row],[地区]],Sheet2!A:B,2,0)</f>
        <v>120000</v>
      </c>
      <c r="E20">
        <f>表1_[[#This Row],[属性]]+表1_[[#This Row],[行政区域]]</f>
        <v>122015</v>
      </c>
    </row>
    <row r="21" spans="1:5" x14ac:dyDescent="0.3">
      <c r="A21" t="s">
        <v>310</v>
      </c>
      <c r="B21">
        <v>2014</v>
      </c>
      <c r="C21">
        <v>109</v>
      </c>
      <c r="D21">
        <f>VLOOKUP(表1_[[#This Row],[地区]],Sheet2!A:B,2,0)</f>
        <v>120000</v>
      </c>
      <c r="E21">
        <f>表1_[[#This Row],[属性]]+表1_[[#This Row],[行政区域]]</f>
        <v>122014</v>
      </c>
    </row>
    <row r="22" spans="1:5" x14ac:dyDescent="0.3">
      <c r="A22" t="s">
        <v>311</v>
      </c>
      <c r="B22">
        <v>2023</v>
      </c>
      <c r="C22">
        <v>131.04</v>
      </c>
      <c r="D22">
        <f>VLOOKUP(表1_[[#This Row],[地区]],Sheet2!A:B,2,0)</f>
        <v>130000</v>
      </c>
      <c r="E22">
        <f>表1_[[#This Row],[属性]]+表1_[[#This Row],[行政区域]]</f>
        <v>132023</v>
      </c>
    </row>
    <row r="23" spans="1:5" x14ac:dyDescent="0.3">
      <c r="A23" t="s">
        <v>311</v>
      </c>
      <c r="B23">
        <v>2022</v>
      </c>
      <c r="C23">
        <v>118.13</v>
      </c>
      <c r="D23">
        <f>VLOOKUP(表1_[[#This Row],[地区]],Sheet2!A:B,2,0)</f>
        <v>130000</v>
      </c>
      <c r="E23">
        <f>表1_[[#This Row],[属性]]+表1_[[#This Row],[行政区域]]</f>
        <v>132022</v>
      </c>
    </row>
    <row r="24" spans="1:5" x14ac:dyDescent="0.3">
      <c r="A24" t="s">
        <v>311</v>
      </c>
      <c r="B24">
        <v>2021</v>
      </c>
      <c r="C24">
        <v>112.64</v>
      </c>
      <c r="D24">
        <f>VLOOKUP(表1_[[#This Row],[地区]],Sheet2!A:B,2,0)</f>
        <v>130000</v>
      </c>
      <c r="E24">
        <f>表1_[[#This Row],[属性]]+表1_[[#This Row],[行政区域]]</f>
        <v>132021</v>
      </c>
    </row>
    <row r="25" spans="1:5" x14ac:dyDescent="0.3">
      <c r="A25" t="s">
        <v>311</v>
      </c>
      <c r="B25">
        <v>2020</v>
      </c>
      <c r="C25">
        <v>101.76</v>
      </c>
      <c r="D25">
        <f>VLOOKUP(表1_[[#This Row],[地区]],Sheet2!A:B,2,0)</f>
        <v>130000</v>
      </c>
      <c r="E25">
        <f>表1_[[#This Row],[属性]]+表1_[[#This Row],[行政区域]]</f>
        <v>132020</v>
      </c>
    </row>
    <row r="26" spans="1:5" x14ac:dyDescent="0.3">
      <c r="A26" t="s">
        <v>311</v>
      </c>
      <c r="B26">
        <v>2019</v>
      </c>
      <c r="C26">
        <v>90.7</v>
      </c>
      <c r="D26">
        <f>VLOOKUP(表1_[[#This Row],[地区]],Sheet2!A:B,2,0)</f>
        <v>130000</v>
      </c>
      <c r="E26">
        <f>表1_[[#This Row],[属性]]+表1_[[#This Row],[行政区域]]</f>
        <v>132019</v>
      </c>
    </row>
    <row r="27" spans="1:5" x14ac:dyDescent="0.3">
      <c r="A27" t="s">
        <v>311</v>
      </c>
      <c r="B27">
        <v>2018</v>
      </c>
      <c r="C27">
        <v>77.040000000000006</v>
      </c>
      <c r="D27">
        <f>VLOOKUP(表1_[[#This Row],[地区]],Sheet2!A:B,2,0)</f>
        <v>130000</v>
      </c>
      <c r="E27">
        <f>表1_[[#This Row],[属性]]+表1_[[#This Row],[行政区域]]</f>
        <v>132018</v>
      </c>
    </row>
    <row r="28" spans="1:5" x14ac:dyDescent="0.3">
      <c r="A28" t="s">
        <v>311</v>
      </c>
      <c r="B28">
        <v>2017</v>
      </c>
      <c r="C28">
        <v>69.08</v>
      </c>
      <c r="D28">
        <f>VLOOKUP(表1_[[#This Row],[地区]],Sheet2!A:B,2,0)</f>
        <v>130000</v>
      </c>
      <c r="E28">
        <f>表1_[[#This Row],[属性]]+表1_[[#This Row],[行政区域]]</f>
        <v>132017</v>
      </c>
    </row>
    <row r="29" spans="1:5" x14ac:dyDescent="0.3">
      <c r="A29" t="s">
        <v>311</v>
      </c>
      <c r="B29">
        <v>2016</v>
      </c>
      <c r="C29">
        <v>73.180000000000007</v>
      </c>
      <c r="D29">
        <f>VLOOKUP(表1_[[#This Row],[地区]],Sheet2!A:B,2,0)</f>
        <v>130000</v>
      </c>
      <c r="E29">
        <f>表1_[[#This Row],[属性]]+表1_[[#This Row],[行政区域]]</f>
        <v>132016</v>
      </c>
    </row>
    <row r="30" spans="1:5" x14ac:dyDescent="0.3">
      <c r="A30" t="s">
        <v>311</v>
      </c>
      <c r="B30">
        <v>2015</v>
      </c>
      <c r="C30">
        <v>45.5</v>
      </c>
      <c r="D30">
        <f>VLOOKUP(表1_[[#This Row],[地区]],Sheet2!A:B,2,0)</f>
        <v>130000</v>
      </c>
      <c r="E30">
        <f>表1_[[#This Row],[属性]]+表1_[[#This Row],[行政区域]]</f>
        <v>132015</v>
      </c>
    </row>
    <row r="31" spans="1:5" x14ac:dyDescent="0.3">
      <c r="A31" t="s">
        <v>311</v>
      </c>
      <c r="B31">
        <v>2014</v>
      </c>
      <c r="C31">
        <v>51.32</v>
      </c>
      <c r="D31">
        <f>VLOOKUP(表1_[[#This Row],[地区]],Sheet2!A:B,2,0)</f>
        <v>130000</v>
      </c>
      <c r="E31">
        <f>表1_[[#This Row],[属性]]+表1_[[#This Row],[行政区域]]</f>
        <v>132014</v>
      </c>
    </row>
    <row r="32" spans="1:5" x14ac:dyDescent="0.3">
      <c r="A32" t="s">
        <v>312</v>
      </c>
      <c r="B32">
        <v>2023</v>
      </c>
      <c r="C32">
        <v>84.14</v>
      </c>
      <c r="D32">
        <f>VLOOKUP(表1_[[#This Row],[地区]],Sheet2!A:B,2,0)</f>
        <v>140000</v>
      </c>
      <c r="E32">
        <f>表1_[[#This Row],[属性]]+表1_[[#This Row],[行政区域]]</f>
        <v>142023</v>
      </c>
    </row>
    <row r="33" spans="1:5" x14ac:dyDescent="0.3">
      <c r="A33" t="s">
        <v>312</v>
      </c>
      <c r="B33">
        <v>2022</v>
      </c>
      <c r="C33">
        <v>61.01</v>
      </c>
      <c r="D33">
        <f>VLOOKUP(表1_[[#This Row],[地区]],Sheet2!A:B,2,0)</f>
        <v>140000</v>
      </c>
      <c r="E33">
        <f>表1_[[#This Row],[属性]]+表1_[[#This Row],[行政区域]]</f>
        <v>142022</v>
      </c>
    </row>
    <row r="34" spans="1:5" x14ac:dyDescent="0.3">
      <c r="A34" t="s">
        <v>312</v>
      </c>
      <c r="B34">
        <v>2021</v>
      </c>
      <c r="C34">
        <v>83.38</v>
      </c>
      <c r="D34">
        <f>VLOOKUP(表1_[[#This Row],[地区]],Sheet2!A:B,2,0)</f>
        <v>140000</v>
      </c>
      <c r="E34">
        <f>表1_[[#This Row],[属性]]+表1_[[#This Row],[行政区域]]</f>
        <v>142021</v>
      </c>
    </row>
    <row r="35" spans="1:5" x14ac:dyDescent="0.3">
      <c r="A35" t="s">
        <v>312</v>
      </c>
      <c r="B35">
        <v>2020</v>
      </c>
      <c r="C35">
        <v>66.09</v>
      </c>
      <c r="D35">
        <f>VLOOKUP(表1_[[#This Row],[地区]],Sheet2!A:B,2,0)</f>
        <v>140000</v>
      </c>
      <c r="E35">
        <f>表1_[[#This Row],[属性]]+表1_[[#This Row],[行政区域]]</f>
        <v>142020</v>
      </c>
    </row>
    <row r="36" spans="1:5" x14ac:dyDescent="0.3">
      <c r="A36" t="s">
        <v>312</v>
      </c>
      <c r="B36">
        <v>2019</v>
      </c>
      <c r="C36">
        <v>57.72</v>
      </c>
      <c r="D36">
        <f>VLOOKUP(表1_[[#This Row],[地区]],Sheet2!A:B,2,0)</f>
        <v>140000</v>
      </c>
      <c r="E36">
        <f>表1_[[#This Row],[属性]]+表1_[[#This Row],[行政区域]]</f>
        <v>142019</v>
      </c>
    </row>
    <row r="37" spans="1:5" x14ac:dyDescent="0.3">
      <c r="A37" t="s">
        <v>312</v>
      </c>
      <c r="B37">
        <v>2018</v>
      </c>
      <c r="C37">
        <v>59.08</v>
      </c>
      <c r="D37">
        <f>VLOOKUP(表1_[[#This Row],[地区]],Sheet2!A:B,2,0)</f>
        <v>140000</v>
      </c>
      <c r="E37">
        <f>表1_[[#This Row],[属性]]+表1_[[#This Row],[行政区域]]</f>
        <v>142018</v>
      </c>
    </row>
    <row r="38" spans="1:5" x14ac:dyDescent="0.3">
      <c r="A38" t="s">
        <v>312</v>
      </c>
      <c r="B38">
        <v>2017</v>
      </c>
      <c r="C38">
        <v>50.25</v>
      </c>
      <c r="D38">
        <f>VLOOKUP(表1_[[#This Row],[地区]],Sheet2!A:B,2,0)</f>
        <v>140000</v>
      </c>
      <c r="E38">
        <f>表1_[[#This Row],[属性]]+表1_[[#This Row],[行政区域]]</f>
        <v>142017</v>
      </c>
    </row>
    <row r="39" spans="1:5" x14ac:dyDescent="0.3">
      <c r="A39" t="s">
        <v>312</v>
      </c>
      <c r="B39">
        <v>2016</v>
      </c>
      <c r="C39">
        <v>34.56</v>
      </c>
      <c r="D39">
        <f>VLOOKUP(表1_[[#This Row],[地区]],Sheet2!A:B,2,0)</f>
        <v>140000</v>
      </c>
      <c r="E39">
        <f>表1_[[#This Row],[属性]]+表1_[[#This Row],[行政区域]]</f>
        <v>142016</v>
      </c>
    </row>
    <row r="40" spans="1:5" x14ac:dyDescent="0.3">
      <c r="A40" t="s">
        <v>312</v>
      </c>
      <c r="B40">
        <v>2015</v>
      </c>
      <c r="C40">
        <v>37.47</v>
      </c>
      <c r="D40">
        <f>VLOOKUP(表1_[[#This Row],[地区]],Sheet2!A:B,2,0)</f>
        <v>140000</v>
      </c>
      <c r="E40">
        <f>表1_[[#This Row],[属性]]+表1_[[#This Row],[行政区域]]</f>
        <v>142015</v>
      </c>
    </row>
    <row r="41" spans="1:5" x14ac:dyDescent="0.3">
      <c r="A41" t="s">
        <v>312</v>
      </c>
      <c r="B41">
        <v>2014</v>
      </c>
      <c r="C41">
        <v>54.26</v>
      </c>
      <c r="D41">
        <f>VLOOKUP(表1_[[#This Row],[地区]],Sheet2!A:B,2,0)</f>
        <v>140000</v>
      </c>
      <c r="E41">
        <f>表1_[[#This Row],[属性]]+表1_[[#This Row],[行政区域]]</f>
        <v>142014</v>
      </c>
    </row>
    <row r="42" spans="1:5" x14ac:dyDescent="0.3">
      <c r="A42" t="s">
        <v>313</v>
      </c>
      <c r="B42">
        <v>2023</v>
      </c>
      <c r="C42">
        <v>74.97</v>
      </c>
      <c r="D42">
        <f>VLOOKUP(表1_[[#This Row],[地区]],Sheet2!A:B,2,0)</f>
        <v>150000</v>
      </c>
      <c r="E42">
        <f>表1_[[#This Row],[属性]]+表1_[[#This Row],[行政区域]]</f>
        <v>152023</v>
      </c>
    </row>
    <row r="43" spans="1:5" x14ac:dyDescent="0.3">
      <c r="A43" t="s">
        <v>313</v>
      </c>
      <c r="B43">
        <v>2022</v>
      </c>
      <c r="C43">
        <v>42.99</v>
      </c>
      <c r="D43">
        <f>VLOOKUP(表1_[[#This Row],[地区]],Sheet2!A:B,2,0)</f>
        <v>150000</v>
      </c>
      <c r="E43">
        <f>表1_[[#This Row],[属性]]+表1_[[#This Row],[行政区域]]</f>
        <v>152022</v>
      </c>
    </row>
    <row r="44" spans="1:5" x14ac:dyDescent="0.3">
      <c r="A44" t="s">
        <v>313</v>
      </c>
      <c r="B44">
        <v>2021</v>
      </c>
      <c r="C44">
        <v>35.28</v>
      </c>
      <c r="D44">
        <f>VLOOKUP(表1_[[#This Row],[地区]],Sheet2!A:B,2,0)</f>
        <v>150000</v>
      </c>
      <c r="E44">
        <f>表1_[[#This Row],[属性]]+表1_[[#This Row],[行政区域]]</f>
        <v>152021</v>
      </c>
    </row>
    <row r="45" spans="1:5" x14ac:dyDescent="0.3">
      <c r="A45" t="s">
        <v>313</v>
      </c>
      <c r="B45">
        <v>2020</v>
      </c>
      <c r="C45">
        <v>32.380000000000003</v>
      </c>
      <c r="D45">
        <f>VLOOKUP(表1_[[#This Row],[地区]],Sheet2!A:B,2,0)</f>
        <v>150000</v>
      </c>
      <c r="E45">
        <f>表1_[[#This Row],[属性]]+表1_[[#This Row],[行政区域]]</f>
        <v>152020</v>
      </c>
    </row>
    <row r="46" spans="1:5" x14ac:dyDescent="0.3">
      <c r="A46" t="s">
        <v>313</v>
      </c>
      <c r="B46">
        <v>2019</v>
      </c>
      <c r="C46">
        <v>28.49</v>
      </c>
      <c r="D46">
        <f>VLOOKUP(表1_[[#This Row],[地区]],Sheet2!A:B,2,0)</f>
        <v>150000</v>
      </c>
      <c r="E46">
        <f>表1_[[#This Row],[属性]]+表1_[[#This Row],[行政区域]]</f>
        <v>152019</v>
      </c>
    </row>
    <row r="47" spans="1:5" x14ac:dyDescent="0.3">
      <c r="A47" t="s">
        <v>313</v>
      </c>
      <c r="B47">
        <v>2018</v>
      </c>
      <c r="C47">
        <v>26.05</v>
      </c>
      <c r="D47">
        <f>VLOOKUP(表1_[[#This Row],[地区]],Sheet2!A:B,2,0)</f>
        <v>150000</v>
      </c>
      <c r="E47">
        <f>表1_[[#This Row],[属性]]+表1_[[#This Row],[行政区域]]</f>
        <v>152018</v>
      </c>
    </row>
    <row r="48" spans="1:5" x14ac:dyDescent="0.3">
      <c r="A48" t="s">
        <v>313</v>
      </c>
      <c r="B48">
        <v>2017</v>
      </c>
      <c r="C48">
        <v>33.67</v>
      </c>
      <c r="D48">
        <f>VLOOKUP(表1_[[#This Row],[地区]],Sheet2!A:B,2,0)</f>
        <v>150000</v>
      </c>
      <c r="E48">
        <f>表1_[[#This Row],[属性]]+表1_[[#This Row],[行政区域]]</f>
        <v>152017</v>
      </c>
    </row>
    <row r="49" spans="1:5" x14ac:dyDescent="0.3">
      <c r="A49" t="s">
        <v>313</v>
      </c>
      <c r="B49">
        <v>2016</v>
      </c>
      <c r="C49">
        <v>32.380000000000003</v>
      </c>
      <c r="D49">
        <f>VLOOKUP(表1_[[#This Row],[地区]],Sheet2!A:B,2,0)</f>
        <v>150000</v>
      </c>
      <c r="E49">
        <f>表1_[[#This Row],[属性]]+表1_[[#This Row],[行政区域]]</f>
        <v>152016</v>
      </c>
    </row>
    <row r="50" spans="1:5" x14ac:dyDescent="0.3">
      <c r="A50" t="s">
        <v>313</v>
      </c>
      <c r="B50">
        <v>2015</v>
      </c>
      <c r="C50">
        <v>35.72</v>
      </c>
      <c r="D50">
        <f>VLOOKUP(表1_[[#This Row],[地区]],Sheet2!A:B,2,0)</f>
        <v>150000</v>
      </c>
      <c r="E50">
        <f>表1_[[#This Row],[属性]]+表1_[[#This Row],[行政区域]]</f>
        <v>152015</v>
      </c>
    </row>
    <row r="51" spans="1:5" x14ac:dyDescent="0.3">
      <c r="A51" t="s">
        <v>313</v>
      </c>
      <c r="B51">
        <v>2014</v>
      </c>
      <c r="C51">
        <v>32.869999999999997</v>
      </c>
      <c r="D51">
        <f>VLOOKUP(表1_[[#This Row],[地区]],Sheet2!A:B,2,0)</f>
        <v>150000</v>
      </c>
      <c r="E51">
        <f>表1_[[#This Row],[属性]]+表1_[[#This Row],[行政区域]]</f>
        <v>152014</v>
      </c>
    </row>
    <row r="52" spans="1:5" x14ac:dyDescent="0.3">
      <c r="A52" t="s">
        <v>314</v>
      </c>
      <c r="B52">
        <v>2023</v>
      </c>
      <c r="C52">
        <v>78.930000000000007</v>
      </c>
      <c r="D52">
        <f>VLOOKUP(表1_[[#This Row],[地区]],Sheet2!A:B,2,0)</f>
        <v>210000</v>
      </c>
      <c r="E52">
        <f>表1_[[#This Row],[属性]]+表1_[[#This Row],[行政区域]]</f>
        <v>212023</v>
      </c>
    </row>
    <row r="53" spans="1:5" x14ac:dyDescent="0.3">
      <c r="A53" t="s">
        <v>314</v>
      </c>
      <c r="B53">
        <v>2022</v>
      </c>
      <c r="C53">
        <v>74.349999999999994</v>
      </c>
      <c r="D53">
        <f>VLOOKUP(表1_[[#This Row],[地区]],Sheet2!A:B,2,0)</f>
        <v>210000</v>
      </c>
      <c r="E53">
        <f>表1_[[#This Row],[属性]]+表1_[[#This Row],[行政区域]]</f>
        <v>212022</v>
      </c>
    </row>
    <row r="54" spans="1:5" x14ac:dyDescent="0.3">
      <c r="A54" t="s">
        <v>314</v>
      </c>
      <c r="B54">
        <v>2021</v>
      </c>
      <c r="C54">
        <v>78.45</v>
      </c>
      <c r="D54">
        <f>VLOOKUP(表1_[[#This Row],[地区]],Sheet2!A:B,2,0)</f>
        <v>210000</v>
      </c>
      <c r="E54">
        <f>表1_[[#This Row],[属性]]+表1_[[#This Row],[行政区域]]</f>
        <v>212021</v>
      </c>
    </row>
    <row r="55" spans="1:5" x14ac:dyDescent="0.3">
      <c r="A55" t="s">
        <v>314</v>
      </c>
      <c r="B55">
        <v>2020</v>
      </c>
      <c r="C55">
        <v>72.709999999999994</v>
      </c>
      <c r="D55">
        <f>VLOOKUP(表1_[[#This Row],[地区]],Sheet2!A:B,2,0)</f>
        <v>210000</v>
      </c>
      <c r="E55">
        <f>表1_[[#This Row],[属性]]+表1_[[#This Row],[行政区域]]</f>
        <v>212020</v>
      </c>
    </row>
    <row r="56" spans="1:5" x14ac:dyDescent="0.3">
      <c r="A56" t="s">
        <v>314</v>
      </c>
      <c r="B56">
        <v>2019</v>
      </c>
      <c r="C56">
        <v>74.03</v>
      </c>
      <c r="D56">
        <f>VLOOKUP(表1_[[#This Row],[地区]],Sheet2!A:B,2,0)</f>
        <v>210000</v>
      </c>
      <c r="E56">
        <f>表1_[[#This Row],[属性]]+表1_[[#This Row],[行政区域]]</f>
        <v>212019</v>
      </c>
    </row>
    <row r="57" spans="1:5" x14ac:dyDescent="0.3">
      <c r="A57" t="s">
        <v>314</v>
      </c>
      <c r="B57">
        <v>2018</v>
      </c>
      <c r="C57">
        <v>75.05</v>
      </c>
      <c r="D57">
        <f>VLOOKUP(表1_[[#This Row],[地区]],Sheet2!A:B,2,0)</f>
        <v>210000</v>
      </c>
      <c r="E57">
        <f>表1_[[#This Row],[属性]]+表1_[[#This Row],[行政区域]]</f>
        <v>212018</v>
      </c>
    </row>
    <row r="58" spans="1:5" x14ac:dyDescent="0.3">
      <c r="A58" t="s">
        <v>314</v>
      </c>
      <c r="B58">
        <v>2017</v>
      </c>
      <c r="C58">
        <v>57.38</v>
      </c>
      <c r="D58">
        <f>VLOOKUP(表1_[[#This Row],[地区]],Sheet2!A:B,2,0)</f>
        <v>210000</v>
      </c>
      <c r="E58">
        <f>表1_[[#This Row],[属性]]+表1_[[#This Row],[行政区域]]</f>
        <v>212017</v>
      </c>
    </row>
    <row r="59" spans="1:5" x14ac:dyDescent="0.3">
      <c r="A59" t="s">
        <v>314</v>
      </c>
      <c r="B59">
        <v>2016</v>
      </c>
      <c r="C59">
        <v>61.61</v>
      </c>
      <c r="D59">
        <f>VLOOKUP(表1_[[#This Row],[地区]],Sheet2!A:B,2,0)</f>
        <v>210000</v>
      </c>
      <c r="E59">
        <f>表1_[[#This Row],[属性]]+表1_[[#This Row],[行政区域]]</f>
        <v>212016</v>
      </c>
    </row>
    <row r="60" spans="1:5" x14ac:dyDescent="0.3">
      <c r="A60" t="s">
        <v>314</v>
      </c>
      <c r="B60">
        <v>2015</v>
      </c>
      <c r="C60">
        <v>68.92</v>
      </c>
      <c r="D60">
        <f>VLOOKUP(表1_[[#This Row],[地区]],Sheet2!A:B,2,0)</f>
        <v>210000</v>
      </c>
      <c r="E60">
        <f>表1_[[#This Row],[属性]]+表1_[[#This Row],[行政区域]]</f>
        <v>212015</v>
      </c>
    </row>
    <row r="61" spans="1:5" x14ac:dyDescent="0.3">
      <c r="A61" t="s">
        <v>314</v>
      </c>
      <c r="B61">
        <v>2014</v>
      </c>
      <c r="C61">
        <v>108.82</v>
      </c>
      <c r="D61">
        <f>VLOOKUP(表1_[[#This Row],[地区]],Sheet2!A:B,2,0)</f>
        <v>210000</v>
      </c>
      <c r="E61">
        <f>表1_[[#This Row],[属性]]+表1_[[#This Row],[行政区域]]</f>
        <v>212014</v>
      </c>
    </row>
    <row r="62" spans="1:5" x14ac:dyDescent="0.3">
      <c r="A62" t="s">
        <v>315</v>
      </c>
      <c r="B62">
        <v>2023</v>
      </c>
      <c r="C62">
        <v>38.54</v>
      </c>
      <c r="D62">
        <f>VLOOKUP(表1_[[#This Row],[地区]],Sheet2!A:B,2,0)</f>
        <v>220000</v>
      </c>
      <c r="E62">
        <f>表1_[[#This Row],[属性]]+表1_[[#This Row],[行政区域]]</f>
        <v>222023</v>
      </c>
    </row>
    <row r="63" spans="1:5" x14ac:dyDescent="0.3">
      <c r="A63" t="s">
        <v>315</v>
      </c>
      <c r="B63">
        <v>2022</v>
      </c>
      <c r="C63">
        <v>22.38</v>
      </c>
      <c r="D63">
        <f>VLOOKUP(表1_[[#This Row],[地区]],Sheet2!A:B,2,0)</f>
        <v>220000</v>
      </c>
      <c r="E63">
        <f>表1_[[#This Row],[属性]]+表1_[[#This Row],[行政区域]]</f>
        <v>222022</v>
      </c>
    </row>
    <row r="64" spans="1:5" x14ac:dyDescent="0.3">
      <c r="A64" t="s">
        <v>315</v>
      </c>
      <c r="B64">
        <v>2021</v>
      </c>
      <c r="C64">
        <v>38.43</v>
      </c>
      <c r="D64">
        <f>VLOOKUP(表1_[[#This Row],[地区]],Sheet2!A:B,2,0)</f>
        <v>220000</v>
      </c>
      <c r="E64">
        <f>表1_[[#This Row],[属性]]+表1_[[#This Row],[行政区域]]</f>
        <v>222021</v>
      </c>
    </row>
    <row r="65" spans="1:5" x14ac:dyDescent="0.3">
      <c r="A65" t="s">
        <v>315</v>
      </c>
      <c r="B65">
        <v>2020</v>
      </c>
      <c r="C65">
        <v>39.94</v>
      </c>
      <c r="D65">
        <f>VLOOKUP(表1_[[#This Row],[地区]],Sheet2!A:B,2,0)</f>
        <v>220000</v>
      </c>
      <c r="E65">
        <f>表1_[[#This Row],[属性]]+表1_[[#This Row],[行政区域]]</f>
        <v>222020</v>
      </c>
    </row>
    <row r="66" spans="1:5" x14ac:dyDescent="0.3">
      <c r="A66" t="s">
        <v>315</v>
      </c>
      <c r="B66">
        <v>2019</v>
      </c>
      <c r="C66">
        <v>39.18</v>
      </c>
      <c r="D66">
        <f>VLOOKUP(表1_[[#This Row],[地区]],Sheet2!A:B,2,0)</f>
        <v>220000</v>
      </c>
      <c r="E66">
        <f>表1_[[#This Row],[属性]]+表1_[[#This Row],[行政区域]]</f>
        <v>222019</v>
      </c>
    </row>
    <row r="67" spans="1:5" x14ac:dyDescent="0.3">
      <c r="A67" t="s">
        <v>315</v>
      </c>
      <c r="B67">
        <v>2018</v>
      </c>
      <c r="C67">
        <v>41.1</v>
      </c>
      <c r="D67">
        <f>VLOOKUP(表1_[[#This Row],[地区]],Sheet2!A:B,2,0)</f>
        <v>220000</v>
      </c>
      <c r="E67">
        <f>表1_[[#This Row],[属性]]+表1_[[#This Row],[行政区域]]</f>
        <v>222018</v>
      </c>
    </row>
    <row r="68" spans="1:5" x14ac:dyDescent="0.3">
      <c r="A68" t="s">
        <v>315</v>
      </c>
      <c r="B68">
        <v>2017</v>
      </c>
      <c r="C68">
        <v>46.84</v>
      </c>
      <c r="D68">
        <f>VLOOKUP(表1_[[#This Row],[地区]],Sheet2!A:B,2,0)</f>
        <v>220000</v>
      </c>
      <c r="E68">
        <f>表1_[[#This Row],[属性]]+表1_[[#This Row],[行政区域]]</f>
        <v>222017</v>
      </c>
    </row>
    <row r="69" spans="1:5" x14ac:dyDescent="0.3">
      <c r="A69" t="s">
        <v>315</v>
      </c>
      <c r="B69">
        <v>2016</v>
      </c>
      <c r="C69">
        <v>41.01</v>
      </c>
      <c r="D69">
        <f>VLOOKUP(表1_[[#This Row],[地区]],Sheet2!A:B,2,0)</f>
        <v>220000</v>
      </c>
      <c r="E69">
        <f>表1_[[#This Row],[属性]]+表1_[[#This Row],[行政区域]]</f>
        <v>222016</v>
      </c>
    </row>
    <row r="70" spans="1:5" x14ac:dyDescent="0.3">
      <c r="A70" t="s">
        <v>315</v>
      </c>
      <c r="B70">
        <v>2015</v>
      </c>
      <c r="C70">
        <v>41.39</v>
      </c>
      <c r="D70">
        <f>VLOOKUP(表1_[[#This Row],[地区]],Sheet2!A:B,2,0)</f>
        <v>220000</v>
      </c>
      <c r="E70">
        <f>表1_[[#This Row],[属性]]+表1_[[#This Row],[行政区域]]</f>
        <v>222015</v>
      </c>
    </row>
    <row r="71" spans="1:5" x14ac:dyDescent="0.3">
      <c r="A71" t="s">
        <v>315</v>
      </c>
      <c r="B71">
        <v>2014</v>
      </c>
      <c r="C71">
        <v>36.450000000000003</v>
      </c>
      <c r="D71">
        <f>VLOOKUP(表1_[[#This Row],[地区]],Sheet2!A:B,2,0)</f>
        <v>220000</v>
      </c>
      <c r="E71">
        <f>表1_[[#This Row],[属性]]+表1_[[#This Row],[行政区域]]</f>
        <v>222014</v>
      </c>
    </row>
    <row r="72" spans="1:5" x14ac:dyDescent="0.3">
      <c r="A72" t="s">
        <v>316</v>
      </c>
      <c r="B72">
        <v>2023</v>
      </c>
      <c r="C72">
        <v>49.41</v>
      </c>
      <c r="D72">
        <f>VLOOKUP(表1_[[#This Row],[地区]],Sheet2!A:B,2,0)</f>
        <v>230000</v>
      </c>
      <c r="E72">
        <f>表1_[[#This Row],[属性]]+表1_[[#This Row],[行政区域]]</f>
        <v>232023</v>
      </c>
    </row>
    <row r="73" spans="1:5" x14ac:dyDescent="0.3">
      <c r="A73" t="s">
        <v>316</v>
      </c>
      <c r="B73">
        <v>2022</v>
      </c>
      <c r="C73">
        <v>46.47</v>
      </c>
      <c r="D73">
        <f>VLOOKUP(表1_[[#This Row],[地区]],Sheet2!A:B,2,0)</f>
        <v>230000</v>
      </c>
      <c r="E73">
        <f>表1_[[#This Row],[属性]]+表1_[[#This Row],[行政区域]]</f>
        <v>232022</v>
      </c>
    </row>
    <row r="74" spans="1:5" x14ac:dyDescent="0.3">
      <c r="A74" t="s">
        <v>316</v>
      </c>
      <c r="B74">
        <v>2021</v>
      </c>
      <c r="C74">
        <v>43.52</v>
      </c>
      <c r="D74">
        <f>VLOOKUP(表1_[[#This Row],[地区]],Sheet2!A:B,2,0)</f>
        <v>230000</v>
      </c>
      <c r="E74">
        <f>表1_[[#This Row],[属性]]+表1_[[#This Row],[行政区域]]</f>
        <v>232021</v>
      </c>
    </row>
    <row r="75" spans="1:5" x14ac:dyDescent="0.3">
      <c r="A75" t="s">
        <v>316</v>
      </c>
      <c r="B75">
        <v>2020</v>
      </c>
      <c r="C75">
        <v>42.98</v>
      </c>
      <c r="D75">
        <f>VLOOKUP(表1_[[#This Row],[地区]],Sheet2!A:B,2,0)</f>
        <v>230000</v>
      </c>
      <c r="E75">
        <f>表1_[[#This Row],[属性]]+表1_[[#This Row],[行政区域]]</f>
        <v>232020</v>
      </c>
    </row>
    <row r="76" spans="1:5" x14ac:dyDescent="0.3">
      <c r="A76" t="s">
        <v>316</v>
      </c>
      <c r="B76">
        <v>2019</v>
      </c>
      <c r="C76">
        <v>42.16</v>
      </c>
      <c r="D76">
        <f>VLOOKUP(表1_[[#This Row],[地区]],Sheet2!A:B,2,0)</f>
        <v>230000</v>
      </c>
      <c r="E76">
        <f>表1_[[#This Row],[属性]]+表1_[[#This Row],[行政区域]]</f>
        <v>232019</v>
      </c>
    </row>
    <row r="77" spans="1:5" x14ac:dyDescent="0.3">
      <c r="A77" t="s">
        <v>316</v>
      </c>
      <c r="B77">
        <v>2018</v>
      </c>
      <c r="C77">
        <v>39.520000000000003</v>
      </c>
      <c r="D77">
        <f>VLOOKUP(表1_[[#This Row],[地区]],Sheet2!A:B,2,0)</f>
        <v>230000</v>
      </c>
      <c r="E77">
        <f>表1_[[#This Row],[属性]]+表1_[[#This Row],[行政区域]]</f>
        <v>232018</v>
      </c>
    </row>
    <row r="78" spans="1:5" x14ac:dyDescent="0.3">
      <c r="A78" t="s">
        <v>316</v>
      </c>
      <c r="B78">
        <v>2017</v>
      </c>
      <c r="C78">
        <v>46.91</v>
      </c>
      <c r="D78">
        <f>VLOOKUP(表1_[[#This Row],[地区]],Sheet2!A:B,2,0)</f>
        <v>230000</v>
      </c>
      <c r="E78">
        <f>表1_[[#This Row],[属性]]+表1_[[#This Row],[行政区域]]</f>
        <v>232017</v>
      </c>
    </row>
    <row r="79" spans="1:5" x14ac:dyDescent="0.3">
      <c r="A79" t="s">
        <v>316</v>
      </c>
      <c r="B79">
        <v>2016</v>
      </c>
      <c r="C79">
        <v>44.92</v>
      </c>
      <c r="D79">
        <f>VLOOKUP(表1_[[#This Row],[地区]],Sheet2!A:B,2,0)</f>
        <v>230000</v>
      </c>
      <c r="E79">
        <f>表1_[[#This Row],[属性]]+表1_[[#This Row],[行政区域]]</f>
        <v>232016</v>
      </c>
    </row>
    <row r="80" spans="1:5" x14ac:dyDescent="0.3">
      <c r="A80" t="s">
        <v>316</v>
      </c>
      <c r="B80">
        <v>2015</v>
      </c>
      <c r="C80">
        <v>42.91</v>
      </c>
      <c r="D80">
        <f>VLOOKUP(表1_[[#This Row],[地区]],Sheet2!A:B,2,0)</f>
        <v>230000</v>
      </c>
      <c r="E80">
        <f>表1_[[#This Row],[属性]]+表1_[[#This Row],[行政区域]]</f>
        <v>232015</v>
      </c>
    </row>
    <row r="81" spans="1:5" x14ac:dyDescent="0.3">
      <c r="A81" t="s">
        <v>316</v>
      </c>
      <c r="B81">
        <v>2014</v>
      </c>
      <c r="C81">
        <v>39.46</v>
      </c>
      <c r="D81">
        <f>VLOOKUP(表1_[[#This Row],[地区]],Sheet2!A:B,2,0)</f>
        <v>230000</v>
      </c>
      <c r="E81">
        <f>表1_[[#This Row],[属性]]+表1_[[#This Row],[行政区域]]</f>
        <v>232014</v>
      </c>
    </row>
    <row r="82" spans="1:5" x14ac:dyDescent="0.3">
      <c r="A82" t="s">
        <v>317</v>
      </c>
      <c r="B82">
        <v>2023</v>
      </c>
      <c r="C82">
        <v>528.04999999999995</v>
      </c>
      <c r="D82">
        <f>VLOOKUP(表1_[[#This Row],[地区]],Sheet2!A:B,2,0)</f>
        <v>310000</v>
      </c>
      <c r="E82">
        <f>表1_[[#This Row],[属性]]+表1_[[#This Row],[行政区域]]</f>
        <v>312023</v>
      </c>
    </row>
    <row r="83" spans="1:5" x14ac:dyDescent="0.3">
      <c r="A83" t="s">
        <v>317</v>
      </c>
      <c r="B83">
        <v>2022</v>
      </c>
      <c r="C83">
        <v>386.25</v>
      </c>
      <c r="D83">
        <f>VLOOKUP(表1_[[#This Row],[地区]],Sheet2!A:B,2,0)</f>
        <v>310000</v>
      </c>
      <c r="E83">
        <f>表1_[[#This Row],[属性]]+表1_[[#This Row],[行政区域]]</f>
        <v>312022</v>
      </c>
    </row>
    <row r="84" spans="1:5" x14ac:dyDescent="0.3">
      <c r="A84" t="s">
        <v>317</v>
      </c>
      <c r="B84">
        <v>2021</v>
      </c>
      <c r="C84">
        <v>422.7</v>
      </c>
      <c r="D84">
        <f>VLOOKUP(表1_[[#This Row],[地区]],Sheet2!A:B,2,0)</f>
        <v>310000</v>
      </c>
      <c r="E84">
        <f>表1_[[#This Row],[属性]]+表1_[[#This Row],[行政区域]]</f>
        <v>312021</v>
      </c>
    </row>
    <row r="85" spans="1:5" x14ac:dyDescent="0.3">
      <c r="A85" t="s">
        <v>317</v>
      </c>
      <c r="B85">
        <v>2020</v>
      </c>
      <c r="C85">
        <v>406.2</v>
      </c>
      <c r="D85">
        <f>VLOOKUP(表1_[[#This Row],[地区]],Sheet2!A:B,2,0)</f>
        <v>310000</v>
      </c>
      <c r="E85">
        <f>表1_[[#This Row],[属性]]+表1_[[#This Row],[行政区域]]</f>
        <v>312020</v>
      </c>
    </row>
    <row r="86" spans="1:5" x14ac:dyDescent="0.3">
      <c r="A86" t="s">
        <v>317</v>
      </c>
      <c r="B86">
        <v>2019</v>
      </c>
      <c r="C86">
        <v>389.54</v>
      </c>
      <c r="D86">
        <f>VLOOKUP(表1_[[#This Row],[地区]],Sheet2!A:B,2,0)</f>
        <v>310000</v>
      </c>
      <c r="E86">
        <f>表1_[[#This Row],[属性]]+表1_[[#This Row],[行政区域]]</f>
        <v>312019</v>
      </c>
    </row>
    <row r="87" spans="1:5" x14ac:dyDescent="0.3">
      <c r="A87" t="s">
        <v>317</v>
      </c>
      <c r="B87">
        <v>2018</v>
      </c>
      <c r="C87">
        <v>426.37</v>
      </c>
      <c r="D87">
        <f>VLOOKUP(表1_[[#This Row],[地区]],Sheet2!A:B,2,0)</f>
        <v>310000</v>
      </c>
      <c r="E87">
        <f>表1_[[#This Row],[属性]]+表1_[[#This Row],[行政区域]]</f>
        <v>312018</v>
      </c>
    </row>
    <row r="88" spans="1:5" x14ac:dyDescent="0.3">
      <c r="A88" t="s">
        <v>317</v>
      </c>
      <c r="B88">
        <v>2017</v>
      </c>
      <c r="C88">
        <v>389.9</v>
      </c>
      <c r="D88">
        <f>VLOOKUP(表1_[[#This Row],[地区]],Sheet2!A:B,2,0)</f>
        <v>310000</v>
      </c>
      <c r="E88">
        <f>表1_[[#This Row],[属性]]+表1_[[#This Row],[行政区域]]</f>
        <v>312017</v>
      </c>
    </row>
    <row r="89" spans="1:5" x14ac:dyDescent="0.3">
      <c r="A89" t="s">
        <v>317</v>
      </c>
      <c r="B89">
        <v>2016</v>
      </c>
      <c r="C89">
        <v>341.71</v>
      </c>
      <c r="D89">
        <f>VLOOKUP(表1_[[#This Row],[地区]],Sheet2!A:B,2,0)</f>
        <v>310000</v>
      </c>
      <c r="E89">
        <f>表1_[[#This Row],[属性]]+表1_[[#This Row],[行政区域]]</f>
        <v>312016</v>
      </c>
    </row>
    <row r="90" spans="1:5" x14ac:dyDescent="0.3">
      <c r="A90" t="s">
        <v>317</v>
      </c>
      <c r="B90">
        <v>2015</v>
      </c>
      <c r="C90">
        <v>271.85000000000002</v>
      </c>
      <c r="D90">
        <f>VLOOKUP(表1_[[#This Row],[地区]],Sheet2!A:B,2,0)</f>
        <v>310000</v>
      </c>
      <c r="E90">
        <f>表1_[[#This Row],[属性]]+表1_[[#This Row],[行政区域]]</f>
        <v>312015</v>
      </c>
    </row>
    <row r="91" spans="1:5" x14ac:dyDescent="0.3">
      <c r="A91" t="s">
        <v>317</v>
      </c>
      <c r="B91">
        <v>2014</v>
      </c>
      <c r="C91">
        <v>262.29000000000002</v>
      </c>
      <c r="D91">
        <f>VLOOKUP(表1_[[#This Row],[地区]],Sheet2!A:B,2,0)</f>
        <v>310000</v>
      </c>
      <c r="E91">
        <f>表1_[[#This Row],[属性]]+表1_[[#This Row],[行政区域]]</f>
        <v>312014</v>
      </c>
    </row>
    <row r="92" spans="1:5" x14ac:dyDescent="0.3">
      <c r="A92" t="s">
        <v>318</v>
      </c>
      <c r="B92">
        <v>2023</v>
      </c>
      <c r="C92">
        <v>761.46</v>
      </c>
      <c r="D92">
        <f>VLOOKUP(表1_[[#This Row],[地区]],Sheet2!A:B,2,0)</f>
        <v>320000</v>
      </c>
      <c r="E92">
        <f>表1_[[#This Row],[属性]]+表1_[[#This Row],[行政区域]]</f>
        <v>322023</v>
      </c>
    </row>
    <row r="93" spans="1:5" x14ac:dyDescent="0.3">
      <c r="A93" t="s">
        <v>318</v>
      </c>
      <c r="B93">
        <v>2022</v>
      </c>
      <c r="C93">
        <v>678.32</v>
      </c>
      <c r="D93">
        <f>VLOOKUP(表1_[[#This Row],[地区]],Sheet2!A:B,2,0)</f>
        <v>320000</v>
      </c>
      <c r="E93">
        <f>表1_[[#This Row],[属性]]+表1_[[#This Row],[行政区域]]</f>
        <v>322022</v>
      </c>
    </row>
    <row r="94" spans="1:5" x14ac:dyDescent="0.3">
      <c r="A94" t="s">
        <v>318</v>
      </c>
      <c r="B94">
        <v>2021</v>
      </c>
      <c r="C94">
        <v>671.59</v>
      </c>
      <c r="D94">
        <f>VLOOKUP(表1_[[#This Row],[地区]],Sheet2!A:B,2,0)</f>
        <v>320000</v>
      </c>
      <c r="E94">
        <f>表1_[[#This Row],[属性]]+表1_[[#This Row],[行政区域]]</f>
        <v>322021</v>
      </c>
    </row>
    <row r="95" spans="1:5" x14ac:dyDescent="0.3">
      <c r="A95" t="s">
        <v>318</v>
      </c>
      <c r="B95">
        <v>2020</v>
      </c>
      <c r="C95">
        <v>584.39</v>
      </c>
      <c r="D95">
        <f>VLOOKUP(表1_[[#This Row],[地区]],Sheet2!A:B,2,0)</f>
        <v>320000</v>
      </c>
      <c r="E95">
        <f>表1_[[#This Row],[属性]]+表1_[[#This Row],[行政区域]]</f>
        <v>322020</v>
      </c>
    </row>
    <row r="96" spans="1:5" x14ac:dyDescent="0.3">
      <c r="A96" t="s">
        <v>318</v>
      </c>
      <c r="B96">
        <v>2019</v>
      </c>
      <c r="C96">
        <v>572.04</v>
      </c>
      <c r="D96">
        <f>VLOOKUP(表1_[[#This Row],[地区]],Sheet2!A:B,2,0)</f>
        <v>320000</v>
      </c>
      <c r="E96">
        <f>表1_[[#This Row],[属性]]+表1_[[#This Row],[行政区域]]</f>
        <v>322019</v>
      </c>
    </row>
    <row r="97" spans="1:5" x14ac:dyDescent="0.3">
      <c r="A97" t="s">
        <v>318</v>
      </c>
      <c r="B97">
        <v>2018</v>
      </c>
      <c r="C97">
        <v>507.31</v>
      </c>
      <c r="D97">
        <f>VLOOKUP(表1_[[#This Row],[地区]],Sheet2!A:B,2,0)</f>
        <v>320000</v>
      </c>
      <c r="E97">
        <f>表1_[[#This Row],[属性]]+表1_[[#This Row],[行政区域]]</f>
        <v>322018</v>
      </c>
    </row>
    <row r="98" spans="1:5" x14ac:dyDescent="0.3">
      <c r="A98" t="s">
        <v>318</v>
      </c>
      <c r="B98">
        <v>2017</v>
      </c>
      <c r="C98">
        <v>428.01</v>
      </c>
      <c r="D98">
        <f>VLOOKUP(表1_[[#This Row],[地区]],Sheet2!A:B,2,0)</f>
        <v>320000</v>
      </c>
      <c r="E98">
        <f>表1_[[#This Row],[属性]]+表1_[[#This Row],[行政区域]]</f>
        <v>322017</v>
      </c>
    </row>
    <row r="99" spans="1:5" x14ac:dyDescent="0.3">
      <c r="A99" t="s">
        <v>318</v>
      </c>
      <c r="B99">
        <v>2016</v>
      </c>
      <c r="C99">
        <v>381.02</v>
      </c>
      <c r="D99">
        <f>VLOOKUP(表1_[[#This Row],[地区]],Sheet2!A:B,2,0)</f>
        <v>320000</v>
      </c>
      <c r="E99">
        <f>表1_[[#This Row],[属性]]+表1_[[#This Row],[行政区域]]</f>
        <v>322016</v>
      </c>
    </row>
    <row r="100" spans="1:5" x14ac:dyDescent="0.3">
      <c r="A100" t="s">
        <v>318</v>
      </c>
      <c r="B100">
        <v>2015</v>
      </c>
      <c r="C100">
        <v>371.96</v>
      </c>
      <c r="D100">
        <f>VLOOKUP(表1_[[#This Row],[地区]],Sheet2!A:B,2,0)</f>
        <v>320000</v>
      </c>
      <c r="E100">
        <f>表1_[[#This Row],[属性]]+表1_[[#This Row],[行政区域]]</f>
        <v>322015</v>
      </c>
    </row>
    <row r="101" spans="1:5" x14ac:dyDescent="0.3">
      <c r="A101" t="s">
        <v>318</v>
      </c>
      <c r="B101">
        <v>2014</v>
      </c>
      <c r="C101">
        <v>327.10000000000002</v>
      </c>
      <c r="D101">
        <f>VLOOKUP(表1_[[#This Row],[地区]],Sheet2!A:B,2,0)</f>
        <v>320000</v>
      </c>
      <c r="E101">
        <f>表1_[[#This Row],[属性]]+表1_[[#This Row],[行政区域]]</f>
        <v>322014</v>
      </c>
    </row>
    <row r="102" spans="1:5" x14ac:dyDescent="0.3">
      <c r="A102" t="s">
        <v>319</v>
      </c>
      <c r="B102">
        <v>2023</v>
      </c>
      <c r="C102">
        <v>787.48</v>
      </c>
      <c r="D102">
        <f>VLOOKUP(表1_[[#This Row],[地区]],Sheet2!A:B,2,0)</f>
        <v>330000</v>
      </c>
      <c r="E102">
        <f>表1_[[#This Row],[属性]]+表1_[[#This Row],[行政区域]]</f>
        <v>332023</v>
      </c>
    </row>
    <row r="103" spans="1:5" x14ac:dyDescent="0.3">
      <c r="A103" t="s">
        <v>319</v>
      </c>
      <c r="B103">
        <v>2022</v>
      </c>
      <c r="C103">
        <v>680.89</v>
      </c>
      <c r="D103">
        <f>VLOOKUP(表1_[[#This Row],[地区]],Sheet2!A:B,2,0)</f>
        <v>330000</v>
      </c>
      <c r="E103">
        <f>表1_[[#This Row],[属性]]+表1_[[#This Row],[行政区域]]</f>
        <v>332022</v>
      </c>
    </row>
    <row r="104" spans="1:5" x14ac:dyDescent="0.3">
      <c r="A104" t="s">
        <v>319</v>
      </c>
      <c r="B104">
        <v>2021</v>
      </c>
      <c r="C104">
        <v>578.6</v>
      </c>
      <c r="D104">
        <f>VLOOKUP(表1_[[#This Row],[地区]],Sheet2!A:B,2,0)</f>
        <v>330000</v>
      </c>
      <c r="E104">
        <f>表1_[[#This Row],[属性]]+表1_[[#This Row],[行政区域]]</f>
        <v>332021</v>
      </c>
    </row>
    <row r="105" spans="1:5" x14ac:dyDescent="0.3">
      <c r="A105" t="s">
        <v>319</v>
      </c>
      <c r="B105">
        <v>2020</v>
      </c>
      <c r="C105">
        <v>472.13</v>
      </c>
      <c r="D105">
        <f>VLOOKUP(表1_[[#This Row],[地区]],Sheet2!A:B,2,0)</f>
        <v>330000</v>
      </c>
      <c r="E105">
        <f>表1_[[#This Row],[属性]]+表1_[[#This Row],[行政区域]]</f>
        <v>332020</v>
      </c>
    </row>
    <row r="106" spans="1:5" x14ac:dyDescent="0.3">
      <c r="A106" t="s">
        <v>319</v>
      </c>
      <c r="B106">
        <v>2019</v>
      </c>
      <c r="C106">
        <v>516.05999999999995</v>
      </c>
      <c r="D106">
        <f>VLOOKUP(表1_[[#This Row],[地区]],Sheet2!A:B,2,0)</f>
        <v>330000</v>
      </c>
      <c r="E106">
        <f>表1_[[#This Row],[属性]]+表1_[[#This Row],[行政区域]]</f>
        <v>332019</v>
      </c>
    </row>
    <row r="107" spans="1:5" x14ac:dyDescent="0.3">
      <c r="A107" t="s">
        <v>319</v>
      </c>
      <c r="B107">
        <v>2018</v>
      </c>
      <c r="C107">
        <v>379.66</v>
      </c>
      <c r="D107">
        <f>VLOOKUP(表1_[[#This Row],[地区]],Sheet2!A:B,2,0)</f>
        <v>330000</v>
      </c>
      <c r="E107">
        <f>表1_[[#This Row],[属性]]+表1_[[#This Row],[行政区域]]</f>
        <v>332018</v>
      </c>
    </row>
    <row r="108" spans="1:5" x14ac:dyDescent="0.3">
      <c r="A108" t="s">
        <v>319</v>
      </c>
      <c r="B108">
        <v>2017</v>
      </c>
      <c r="C108">
        <v>303.5</v>
      </c>
      <c r="D108">
        <f>VLOOKUP(表1_[[#This Row],[地区]],Sheet2!A:B,2,0)</f>
        <v>330000</v>
      </c>
      <c r="E108">
        <f>表1_[[#This Row],[属性]]+表1_[[#This Row],[行政区域]]</f>
        <v>332017</v>
      </c>
    </row>
    <row r="109" spans="1:5" x14ac:dyDescent="0.3">
      <c r="A109" t="s">
        <v>319</v>
      </c>
      <c r="B109">
        <v>2016</v>
      </c>
      <c r="C109">
        <v>269.04000000000002</v>
      </c>
      <c r="D109">
        <f>VLOOKUP(表1_[[#This Row],[地区]],Sheet2!A:B,2,0)</f>
        <v>330000</v>
      </c>
      <c r="E109">
        <f>表1_[[#This Row],[属性]]+表1_[[#This Row],[行政区域]]</f>
        <v>332016</v>
      </c>
    </row>
    <row r="110" spans="1:5" x14ac:dyDescent="0.3">
      <c r="A110" t="s">
        <v>319</v>
      </c>
      <c r="B110">
        <v>2015</v>
      </c>
      <c r="C110">
        <v>250.79</v>
      </c>
      <c r="D110">
        <f>VLOOKUP(表1_[[#This Row],[地区]],Sheet2!A:B,2,0)</f>
        <v>330000</v>
      </c>
      <c r="E110">
        <f>表1_[[#This Row],[属性]]+表1_[[#This Row],[行政区域]]</f>
        <v>332015</v>
      </c>
    </row>
    <row r="111" spans="1:5" x14ac:dyDescent="0.3">
      <c r="A111" t="s">
        <v>319</v>
      </c>
      <c r="B111">
        <v>2014</v>
      </c>
      <c r="C111">
        <v>207.99</v>
      </c>
      <c r="D111">
        <f>VLOOKUP(表1_[[#This Row],[地区]],Sheet2!A:B,2,0)</f>
        <v>330000</v>
      </c>
      <c r="E111">
        <f>表1_[[#This Row],[属性]]+表1_[[#This Row],[行政区域]]</f>
        <v>332014</v>
      </c>
    </row>
    <row r="112" spans="1:5" x14ac:dyDescent="0.3">
      <c r="A112" t="s">
        <v>320</v>
      </c>
      <c r="B112">
        <v>2023</v>
      </c>
      <c r="C112">
        <v>535.34</v>
      </c>
      <c r="D112">
        <f>VLOOKUP(表1_[[#This Row],[地区]],Sheet2!A:B,2,0)</f>
        <v>340000</v>
      </c>
      <c r="E112">
        <f>表1_[[#This Row],[属性]]+表1_[[#This Row],[行政区域]]</f>
        <v>342023</v>
      </c>
    </row>
    <row r="113" spans="1:5" x14ac:dyDescent="0.3">
      <c r="A113" t="s">
        <v>320</v>
      </c>
      <c r="B113">
        <v>2022</v>
      </c>
      <c r="C113">
        <v>507.56</v>
      </c>
      <c r="D113">
        <f>VLOOKUP(表1_[[#This Row],[地区]],Sheet2!A:B,2,0)</f>
        <v>340000</v>
      </c>
      <c r="E113">
        <f>表1_[[#This Row],[属性]]+表1_[[#This Row],[行政区域]]</f>
        <v>342022</v>
      </c>
    </row>
    <row r="114" spans="1:5" x14ac:dyDescent="0.3">
      <c r="A114" t="s">
        <v>320</v>
      </c>
      <c r="B114">
        <v>2021</v>
      </c>
      <c r="C114">
        <v>416.09</v>
      </c>
      <c r="D114">
        <f>VLOOKUP(表1_[[#This Row],[地区]],Sheet2!A:B,2,0)</f>
        <v>340000</v>
      </c>
      <c r="E114">
        <f>表1_[[#This Row],[属性]]+表1_[[#This Row],[行政区域]]</f>
        <v>342021</v>
      </c>
    </row>
    <row r="115" spans="1:5" x14ac:dyDescent="0.3">
      <c r="A115" t="s">
        <v>320</v>
      </c>
      <c r="B115">
        <v>2020</v>
      </c>
      <c r="C115">
        <v>369.98</v>
      </c>
      <c r="D115">
        <f>VLOOKUP(表1_[[#This Row],[地区]],Sheet2!A:B,2,0)</f>
        <v>340000</v>
      </c>
      <c r="E115">
        <f>表1_[[#This Row],[属性]]+表1_[[#This Row],[行政区域]]</f>
        <v>342020</v>
      </c>
    </row>
    <row r="116" spans="1:5" x14ac:dyDescent="0.3">
      <c r="A116" t="s">
        <v>320</v>
      </c>
      <c r="B116">
        <v>2019</v>
      </c>
      <c r="C116">
        <v>377.95</v>
      </c>
      <c r="D116">
        <f>VLOOKUP(表1_[[#This Row],[地区]],Sheet2!A:B,2,0)</f>
        <v>340000</v>
      </c>
      <c r="E116">
        <f>表1_[[#This Row],[属性]]+表1_[[#This Row],[行政区域]]</f>
        <v>342019</v>
      </c>
    </row>
    <row r="117" spans="1:5" x14ac:dyDescent="0.3">
      <c r="A117" t="s">
        <v>320</v>
      </c>
      <c r="B117">
        <v>2018</v>
      </c>
      <c r="C117">
        <v>294.81</v>
      </c>
      <c r="D117">
        <f>VLOOKUP(表1_[[#This Row],[地区]],Sheet2!A:B,2,0)</f>
        <v>340000</v>
      </c>
      <c r="E117">
        <f>表1_[[#This Row],[属性]]+表1_[[#This Row],[行政区域]]</f>
        <v>342018</v>
      </c>
    </row>
    <row r="118" spans="1:5" x14ac:dyDescent="0.3">
      <c r="A118" t="s">
        <v>320</v>
      </c>
      <c r="B118">
        <v>2017</v>
      </c>
      <c r="C118">
        <v>260.41000000000003</v>
      </c>
      <c r="D118">
        <f>VLOOKUP(表1_[[#This Row],[地区]],Sheet2!A:B,2,0)</f>
        <v>340000</v>
      </c>
      <c r="E118">
        <f>表1_[[#This Row],[属性]]+表1_[[#This Row],[行政区域]]</f>
        <v>342017</v>
      </c>
    </row>
    <row r="119" spans="1:5" x14ac:dyDescent="0.3">
      <c r="A119" t="s">
        <v>320</v>
      </c>
      <c r="B119">
        <v>2016</v>
      </c>
      <c r="C119">
        <v>259.5</v>
      </c>
      <c r="D119">
        <f>VLOOKUP(表1_[[#This Row],[地区]],Sheet2!A:B,2,0)</f>
        <v>340000</v>
      </c>
      <c r="E119">
        <f>表1_[[#This Row],[属性]]+表1_[[#This Row],[行政区域]]</f>
        <v>342016</v>
      </c>
    </row>
    <row r="120" spans="1:5" x14ac:dyDescent="0.3">
      <c r="A120" t="s">
        <v>320</v>
      </c>
      <c r="B120">
        <v>2015</v>
      </c>
      <c r="C120">
        <v>147.94</v>
      </c>
      <c r="D120">
        <f>VLOOKUP(表1_[[#This Row],[地区]],Sheet2!A:B,2,0)</f>
        <v>340000</v>
      </c>
      <c r="E120">
        <f>表1_[[#This Row],[属性]]+表1_[[#This Row],[行政区域]]</f>
        <v>342015</v>
      </c>
    </row>
    <row r="121" spans="1:5" x14ac:dyDescent="0.3">
      <c r="A121" t="s">
        <v>320</v>
      </c>
      <c r="B121">
        <v>2014</v>
      </c>
      <c r="C121">
        <v>129.59</v>
      </c>
      <c r="D121">
        <f>VLOOKUP(表1_[[#This Row],[地区]],Sheet2!A:B,2,0)</f>
        <v>340000</v>
      </c>
      <c r="E121">
        <f>表1_[[#This Row],[属性]]+表1_[[#This Row],[行政区域]]</f>
        <v>342014</v>
      </c>
    </row>
    <row r="122" spans="1:5" x14ac:dyDescent="0.3">
      <c r="A122" t="s">
        <v>321</v>
      </c>
      <c r="B122">
        <v>2023</v>
      </c>
      <c r="C122">
        <v>146.91999999999999</v>
      </c>
      <c r="D122">
        <f>VLOOKUP(表1_[[#This Row],[地区]],Sheet2!A:B,2,0)</f>
        <v>350000</v>
      </c>
      <c r="E122">
        <f>表1_[[#This Row],[属性]]+表1_[[#This Row],[行政区域]]</f>
        <v>352023</v>
      </c>
    </row>
    <row r="123" spans="1:5" x14ac:dyDescent="0.3">
      <c r="A123" t="s">
        <v>321</v>
      </c>
      <c r="B123">
        <v>2022</v>
      </c>
      <c r="C123">
        <v>153</v>
      </c>
      <c r="D123">
        <f>VLOOKUP(表1_[[#This Row],[地区]],Sheet2!A:B,2,0)</f>
        <v>350000</v>
      </c>
      <c r="E123">
        <f>表1_[[#This Row],[属性]]+表1_[[#This Row],[行政区域]]</f>
        <v>352022</v>
      </c>
    </row>
    <row r="124" spans="1:5" x14ac:dyDescent="0.3">
      <c r="A124" t="s">
        <v>321</v>
      </c>
      <c r="B124">
        <v>2021</v>
      </c>
      <c r="C124">
        <v>155.11000000000001</v>
      </c>
      <c r="D124">
        <f>VLOOKUP(表1_[[#This Row],[地区]],Sheet2!A:B,2,0)</f>
        <v>350000</v>
      </c>
      <c r="E124">
        <f>表1_[[#This Row],[属性]]+表1_[[#This Row],[行政区域]]</f>
        <v>352021</v>
      </c>
    </row>
    <row r="125" spans="1:5" x14ac:dyDescent="0.3">
      <c r="A125" t="s">
        <v>321</v>
      </c>
      <c r="B125">
        <v>2020</v>
      </c>
      <c r="C125">
        <v>149.44</v>
      </c>
      <c r="D125">
        <f>VLOOKUP(表1_[[#This Row],[地区]],Sheet2!A:B,2,0)</f>
        <v>350000</v>
      </c>
      <c r="E125">
        <f>表1_[[#This Row],[属性]]+表1_[[#This Row],[行政区域]]</f>
        <v>352020</v>
      </c>
    </row>
    <row r="126" spans="1:5" x14ac:dyDescent="0.3">
      <c r="A126" t="s">
        <v>321</v>
      </c>
      <c r="B126">
        <v>2019</v>
      </c>
      <c r="C126">
        <v>133.41</v>
      </c>
      <c r="D126">
        <f>VLOOKUP(表1_[[#This Row],[地区]],Sheet2!A:B,2,0)</f>
        <v>350000</v>
      </c>
      <c r="E126">
        <f>表1_[[#This Row],[属性]]+表1_[[#This Row],[行政区域]]</f>
        <v>352019</v>
      </c>
    </row>
    <row r="127" spans="1:5" x14ac:dyDescent="0.3">
      <c r="A127" t="s">
        <v>321</v>
      </c>
      <c r="B127">
        <v>2018</v>
      </c>
      <c r="C127">
        <v>115.25</v>
      </c>
      <c r="D127">
        <f>VLOOKUP(表1_[[#This Row],[地区]],Sheet2!A:B,2,0)</f>
        <v>350000</v>
      </c>
      <c r="E127">
        <f>表1_[[#This Row],[属性]]+表1_[[#This Row],[行政区域]]</f>
        <v>352018</v>
      </c>
    </row>
    <row r="128" spans="1:5" x14ac:dyDescent="0.3">
      <c r="A128" t="s">
        <v>321</v>
      </c>
      <c r="B128">
        <v>2017</v>
      </c>
      <c r="C128">
        <v>99.44</v>
      </c>
      <c r="D128">
        <f>VLOOKUP(表1_[[#This Row],[地区]],Sheet2!A:B,2,0)</f>
        <v>350000</v>
      </c>
      <c r="E128">
        <f>表1_[[#This Row],[属性]]+表1_[[#This Row],[行政区域]]</f>
        <v>352017</v>
      </c>
    </row>
    <row r="129" spans="1:5" x14ac:dyDescent="0.3">
      <c r="A129" t="s">
        <v>321</v>
      </c>
      <c r="B129">
        <v>2016</v>
      </c>
      <c r="C129">
        <v>80.28</v>
      </c>
      <c r="D129">
        <f>VLOOKUP(表1_[[#This Row],[地区]],Sheet2!A:B,2,0)</f>
        <v>350000</v>
      </c>
      <c r="E129">
        <f>表1_[[#This Row],[属性]]+表1_[[#This Row],[行政区域]]</f>
        <v>352016</v>
      </c>
    </row>
    <row r="130" spans="1:5" x14ac:dyDescent="0.3">
      <c r="A130" t="s">
        <v>321</v>
      </c>
      <c r="B130">
        <v>2015</v>
      </c>
      <c r="C130">
        <v>76.599999999999994</v>
      </c>
      <c r="D130">
        <f>VLOOKUP(表1_[[#This Row],[地区]],Sheet2!A:B,2,0)</f>
        <v>350000</v>
      </c>
      <c r="E130">
        <f>表1_[[#This Row],[属性]]+表1_[[#This Row],[行政区域]]</f>
        <v>352015</v>
      </c>
    </row>
    <row r="131" spans="1:5" x14ac:dyDescent="0.3">
      <c r="A131" t="s">
        <v>321</v>
      </c>
      <c r="B131">
        <v>2014</v>
      </c>
      <c r="C131">
        <v>67.400000000000006</v>
      </c>
      <c r="D131">
        <f>VLOOKUP(表1_[[#This Row],[地区]],Sheet2!A:B,2,0)</f>
        <v>350000</v>
      </c>
      <c r="E131">
        <f>表1_[[#This Row],[属性]]+表1_[[#This Row],[行政区域]]</f>
        <v>352014</v>
      </c>
    </row>
    <row r="132" spans="1:5" x14ac:dyDescent="0.3">
      <c r="A132" t="s">
        <v>322</v>
      </c>
      <c r="B132">
        <v>2023</v>
      </c>
      <c r="C132">
        <v>244.15</v>
      </c>
      <c r="D132">
        <f>VLOOKUP(表1_[[#This Row],[地区]],Sheet2!A:B,2,0)</f>
        <v>360000</v>
      </c>
      <c r="E132">
        <f>表1_[[#This Row],[属性]]+表1_[[#This Row],[行政区域]]</f>
        <v>362023</v>
      </c>
    </row>
    <row r="133" spans="1:5" x14ac:dyDescent="0.3">
      <c r="A133" t="s">
        <v>322</v>
      </c>
      <c r="B133">
        <v>2022</v>
      </c>
      <c r="C133">
        <v>228.43</v>
      </c>
      <c r="D133">
        <f>VLOOKUP(表1_[[#This Row],[地区]],Sheet2!A:B,2,0)</f>
        <v>360000</v>
      </c>
      <c r="E133">
        <f>表1_[[#This Row],[属性]]+表1_[[#This Row],[行政区域]]</f>
        <v>362022</v>
      </c>
    </row>
    <row r="134" spans="1:5" x14ac:dyDescent="0.3">
      <c r="A134" t="s">
        <v>322</v>
      </c>
      <c r="B134">
        <v>2021</v>
      </c>
      <c r="C134">
        <v>210.95</v>
      </c>
      <c r="D134">
        <f>VLOOKUP(表1_[[#This Row],[地区]],Sheet2!A:B,2,0)</f>
        <v>360000</v>
      </c>
      <c r="E134">
        <f>表1_[[#This Row],[属性]]+表1_[[#This Row],[行政区域]]</f>
        <v>362021</v>
      </c>
    </row>
    <row r="135" spans="1:5" x14ac:dyDescent="0.3">
      <c r="A135" t="s">
        <v>322</v>
      </c>
      <c r="B135">
        <v>2020</v>
      </c>
      <c r="C135">
        <v>195.74</v>
      </c>
      <c r="D135">
        <f>VLOOKUP(表1_[[#This Row],[地区]],Sheet2!A:B,2,0)</f>
        <v>360000</v>
      </c>
      <c r="E135">
        <f>表1_[[#This Row],[属性]]+表1_[[#This Row],[行政区域]]</f>
        <v>362020</v>
      </c>
    </row>
    <row r="136" spans="1:5" x14ac:dyDescent="0.3">
      <c r="A136" t="s">
        <v>322</v>
      </c>
      <c r="B136">
        <v>2019</v>
      </c>
      <c r="C136">
        <v>182.92</v>
      </c>
      <c r="D136">
        <f>VLOOKUP(表1_[[#This Row],[地区]],Sheet2!A:B,2,0)</f>
        <v>360000</v>
      </c>
      <c r="E136">
        <f>表1_[[#This Row],[属性]]+表1_[[#This Row],[行政区域]]</f>
        <v>362019</v>
      </c>
    </row>
    <row r="137" spans="1:5" x14ac:dyDescent="0.3">
      <c r="A137" t="s">
        <v>322</v>
      </c>
      <c r="B137">
        <v>2018</v>
      </c>
      <c r="C137">
        <v>147.09</v>
      </c>
      <c r="D137">
        <f>VLOOKUP(表1_[[#This Row],[地区]],Sheet2!A:B,2,0)</f>
        <v>360000</v>
      </c>
      <c r="E137">
        <f>表1_[[#This Row],[属性]]+表1_[[#This Row],[行政区域]]</f>
        <v>362018</v>
      </c>
    </row>
    <row r="138" spans="1:5" x14ac:dyDescent="0.3">
      <c r="A138" t="s">
        <v>322</v>
      </c>
      <c r="B138">
        <v>2017</v>
      </c>
      <c r="C138">
        <v>120.09</v>
      </c>
      <c r="D138">
        <f>VLOOKUP(表1_[[#This Row],[地区]],Sheet2!A:B,2,0)</f>
        <v>360000</v>
      </c>
      <c r="E138">
        <f>表1_[[#This Row],[属性]]+表1_[[#This Row],[行政区域]]</f>
        <v>362017</v>
      </c>
    </row>
    <row r="139" spans="1:5" x14ac:dyDescent="0.3">
      <c r="A139" t="s">
        <v>322</v>
      </c>
      <c r="B139">
        <v>2016</v>
      </c>
      <c r="C139">
        <v>83.12</v>
      </c>
      <c r="D139">
        <f>VLOOKUP(表1_[[#This Row],[地区]],Sheet2!A:B,2,0)</f>
        <v>360000</v>
      </c>
      <c r="E139">
        <f>表1_[[#This Row],[属性]]+表1_[[#This Row],[行政区域]]</f>
        <v>362016</v>
      </c>
    </row>
    <row r="140" spans="1:5" x14ac:dyDescent="0.3">
      <c r="A140" t="s">
        <v>322</v>
      </c>
      <c r="B140">
        <v>2015</v>
      </c>
      <c r="C140">
        <v>74.790000000000006</v>
      </c>
      <c r="D140">
        <f>VLOOKUP(表1_[[#This Row],[地区]],Sheet2!A:B,2,0)</f>
        <v>360000</v>
      </c>
      <c r="E140">
        <f>表1_[[#This Row],[属性]]+表1_[[#This Row],[行政区域]]</f>
        <v>362015</v>
      </c>
    </row>
    <row r="141" spans="1:5" x14ac:dyDescent="0.3">
      <c r="A141" t="s">
        <v>322</v>
      </c>
      <c r="B141">
        <v>2014</v>
      </c>
      <c r="C141">
        <v>58.37</v>
      </c>
      <c r="D141">
        <f>VLOOKUP(表1_[[#This Row],[地区]],Sheet2!A:B,2,0)</f>
        <v>360000</v>
      </c>
      <c r="E141">
        <f>表1_[[#This Row],[属性]]+表1_[[#This Row],[行政区域]]</f>
        <v>362014</v>
      </c>
    </row>
    <row r="142" spans="1:5" x14ac:dyDescent="0.3">
      <c r="A142" t="s">
        <v>323</v>
      </c>
      <c r="B142">
        <v>2023</v>
      </c>
      <c r="C142">
        <v>322.7</v>
      </c>
      <c r="D142">
        <f>VLOOKUP(表1_[[#This Row],[地区]],Sheet2!A:B,2,0)</f>
        <v>370000</v>
      </c>
      <c r="E142">
        <f>表1_[[#This Row],[属性]]+表1_[[#This Row],[行政区域]]</f>
        <v>372023</v>
      </c>
    </row>
    <row r="143" spans="1:5" x14ac:dyDescent="0.3">
      <c r="A143" t="s">
        <v>323</v>
      </c>
      <c r="B143">
        <v>2022</v>
      </c>
      <c r="C143">
        <v>313.26</v>
      </c>
      <c r="D143">
        <f>VLOOKUP(表1_[[#This Row],[地区]],Sheet2!A:B,2,0)</f>
        <v>370000</v>
      </c>
      <c r="E143">
        <f>表1_[[#This Row],[属性]]+表1_[[#This Row],[行政区域]]</f>
        <v>372022</v>
      </c>
    </row>
    <row r="144" spans="1:5" x14ac:dyDescent="0.3">
      <c r="A144" t="s">
        <v>323</v>
      </c>
      <c r="B144">
        <v>2021</v>
      </c>
      <c r="C144">
        <v>372.32</v>
      </c>
      <c r="D144">
        <f>VLOOKUP(表1_[[#This Row],[地区]],Sheet2!A:B,2,0)</f>
        <v>370000</v>
      </c>
      <c r="E144">
        <f>表1_[[#This Row],[属性]]+表1_[[#This Row],[行政区域]]</f>
        <v>372021</v>
      </c>
    </row>
    <row r="145" spans="1:5" x14ac:dyDescent="0.3">
      <c r="A145" t="s">
        <v>323</v>
      </c>
      <c r="B145">
        <v>2020</v>
      </c>
      <c r="C145">
        <v>298.62</v>
      </c>
      <c r="D145">
        <f>VLOOKUP(表1_[[#This Row],[地区]],Sheet2!A:B,2,0)</f>
        <v>370000</v>
      </c>
      <c r="E145">
        <f>表1_[[#This Row],[属性]]+表1_[[#This Row],[行政区域]]</f>
        <v>372020</v>
      </c>
    </row>
    <row r="146" spans="1:5" x14ac:dyDescent="0.3">
      <c r="A146" t="s">
        <v>323</v>
      </c>
      <c r="B146">
        <v>2019</v>
      </c>
      <c r="C146">
        <v>305.76</v>
      </c>
      <c r="D146">
        <f>VLOOKUP(表1_[[#This Row],[地区]],Sheet2!A:B,2,0)</f>
        <v>370000</v>
      </c>
      <c r="E146">
        <f>表1_[[#This Row],[属性]]+表1_[[#This Row],[行政区域]]</f>
        <v>372019</v>
      </c>
    </row>
    <row r="147" spans="1:5" x14ac:dyDescent="0.3">
      <c r="A147" t="s">
        <v>323</v>
      </c>
      <c r="B147">
        <v>2018</v>
      </c>
      <c r="C147">
        <v>232.74</v>
      </c>
      <c r="D147">
        <f>VLOOKUP(表1_[[#This Row],[地区]],Sheet2!A:B,2,0)</f>
        <v>370000</v>
      </c>
      <c r="E147">
        <f>表1_[[#This Row],[属性]]+表1_[[#This Row],[行政区域]]</f>
        <v>372018</v>
      </c>
    </row>
    <row r="148" spans="1:5" x14ac:dyDescent="0.3">
      <c r="A148" t="s">
        <v>323</v>
      </c>
      <c r="B148">
        <v>2017</v>
      </c>
      <c r="C148">
        <v>195.77</v>
      </c>
      <c r="D148">
        <f>VLOOKUP(表1_[[#This Row],[地区]],Sheet2!A:B,2,0)</f>
        <v>370000</v>
      </c>
      <c r="E148">
        <f>表1_[[#This Row],[属性]]+表1_[[#This Row],[行政区域]]</f>
        <v>372017</v>
      </c>
    </row>
    <row r="149" spans="1:5" x14ac:dyDescent="0.3">
      <c r="A149" t="s">
        <v>323</v>
      </c>
      <c r="B149">
        <v>2016</v>
      </c>
      <c r="C149">
        <v>167</v>
      </c>
      <c r="D149">
        <f>VLOOKUP(表1_[[#This Row],[地区]],Sheet2!A:B,2,0)</f>
        <v>370000</v>
      </c>
      <c r="E149">
        <f>表1_[[#This Row],[属性]]+表1_[[#This Row],[行政区域]]</f>
        <v>372016</v>
      </c>
    </row>
    <row r="150" spans="1:5" x14ac:dyDescent="0.3">
      <c r="A150" t="s">
        <v>323</v>
      </c>
      <c r="B150">
        <v>2015</v>
      </c>
      <c r="C150">
        <v>159.05000000000001</v>
      </c>
      <c r="D150">
        <f>VLOOKUP(表1_[[#This Row],[地区]],Sheet2!A:B,2,0)</f>
        <v>370000</v>
      </c>
      <c r="E150">
        <f>表1_[[#This Row],[属性]]+表1_[[#This Row],[行政区域]]</f>
        <v>372015</v>
      </c>
    </row>
    <row r="151" spans="1:5" x14ac:dyDescent="0.3">
      <c r="A151" t="s">
        <v>323</v>
      </c>
      <c r="B151">
        <v>2014</v>
      </c>
      <c r="C151">
        <v>147.06</v>
      </c>
      <c r="D151">
        <f>VLOOKUP(表1_[[#This Row],[地区]],Sheet2!A:B,2,0)</f>
        <v>370000</v>
      </c>
      <c r="E151">
        <f>表1_[[#This Row],[属性]]+表1_[[#This Row],[行政区域]]</f>
        <v>372014</v>
      </c>
    </row>
    <row r="152" spans="1:5" x14ac:dyDescent="0.3">
      <c r="A152" t="s">
        <v>324</v>
      </c>
      <c r="B152">
        <v>2023</v>
      </c>
      <c r="C152">
        <v>470.1</v>
      </c>
      <c r="D152">
        <f>VLOOKUP(表1_[[#This Row],[地区]],Sheet2!A:B,2,0)</f>
        <v>410000</v>
      </c>
      <c r="E152">
        <f>表1_[[#This Row],[属性]]+表1_[[#This Row],[行政区域]]</f>
        <v>412023</v>
      </c>
    </row>
    <row r="153" spans="1:5" x14ac:dyDescent="0.3">
      <c r="A153" t="s">
        <v>324</v>
      </c>
      <c r="B153">
        <v>2022</v>
      </c>
      <c r="C153">
        <v>409.2</v>
      </c>
      <c r="D153">
        <f>VLOOKUP(表1_[[#This Row],[地区]],Sheet2!A:B,2,0)</f>
        <v>410000</v>
      </c>
      <c r="E153">
        <f>表1_[[#This Row],[属性]]+表1_[[#This Row],[行政区域]]</f>
        <v>412022</v>
      </c>
    </row>
    <row r="154" spans="1:5" x14ac:dyDescent="0.3">
      <c r="A154" t="s">
        <v>324</v>
      </c>
      <c r="B154">
        <v>2021</v>
      </c>
      <c r="C154">
        <v>329.25</v>
      </c>
      <c r="D154">
        <f>VLOOKUP(表1_[[#This Row],[地区]],Sheet2!A:B,2,0)</f>
        <v>410000</v>
      </c>
      <c r="E154">
        <f>表1_[[#This Row],[属性]]+表1_[[#This Row],[行政区域]]</f>
        <v>412021</v>
      </c>
    </row>
    <row r="155" spans="1:5" x14ac:dyDescent="0.3">
      <c r="A155" t="s">
        <v>324</v>
      </c>
      <c r="B155">
        <v>2020</v>
      </c>
      <c r="C155">
        <v>254.28</v>
      </c>
      <c r="D155">
        <f>VLOOKUP(表1_[[#This Row],[地区]],Sheet2!A:B,2,0)</f>
        <v>410000</v>
      </c>
      <c r="E155">
        <f>表1_[[#This Row],[属性]]+表1_[[#This Row],[行政区域]]</f>
        <v>412020</v>
      </c>
    </row>
    <row r="156" spans="1:5" x14ac:dyDescent="0.3">
      <c r="A156" t="s">
        <v>324</v>
      </c>
      <c r="B156">
        <v>2019</v>
      </c>
      <c r="C156">
        <v>211.07</v>
      </c>
      <c r="D156">
        <f>VLOOKUP(表1_[[#This Row],[地区]],Sheet2!A:B,2,0)</f>
        <v>410000</v>
      </c>
      <c r="E156">
        <f>表1_[[#This Row],[属性]]+表1_[[#This Row],[行政区域]]</f>
        <v>412019</v>
      </c>
    </row>
    <row r="157" spans="1:5" x14ac:dyDescent="0.3">
      <c r="A157" t="s">
        <v>324</v>
      </c>
      <c r="B157">
        <v>2018</v>
      </c>
      <c r="C157">
        <v>155.66999999999999</v>
      </c>
      <c r="D157">
        <f>VLOOKUP(表1_[[#This Row],[地区]],Sheet2!A:B,2,0)</f>
        <v>410000</v>
      </c>
      <c r="E157">
        <f>表1_[[#This Row],[属性]]+表1_[[#This Row],[行政区域]]</f>
        <v>412018</v>
      </c>
    </row>
    <row r="158" spans="1:5" x14ac:dyDescent="0.3">
      <c r="A158" t="s">
        <v>324</v>
      </c>
      <c r="B158">
        <v>2017</v>
      </c>
      <c r="C158">
        <v>137.94</v>
      </c>
      <c r="D158">
        <f>VLOOKUP(表1_[[#This Row],[地区]],Sheet2!A:B,2,0)</f>
        <v>410000</v>
      </c>
      <c r="E158">
        <f>表1_[[#This Row],[属性]]+表1_[[#This Row],[行政区域]]</f>
        <v>412017</v>
      </c>
    </row>
    <row r="159" spans="1:5" x14ac:dyDescent="0.3">
      <c r="A159" t="s">
        <v>324</v>
      </c>
      <c r="B159">
        <v>2016</v>
      </c>
      <c r="C159">
        <v>96.1</v>
      </c>
      <c r="D159">
        <f>VLOOKUP(表1_[[#This Row],[地区]],Sheet2!A:B,2,0)</f>
        <v>410000</v>
      </c>
      <c r="E159">
        <f>表1_[[#This Row],[属性]]+表1_[[#This Row],[行政区域]]</f>
        <v>412016</v>
      </c>
    </row>
    <row r="160" spans="1:5" x14ac:dyDescent="0.3">
      <c r="A160" t="s">
        <v>324</v>
      </c>
      <c r="B160">
        <v>2015</v>
      </c>
      <c r="C160">
        <v>83.25</v>
      </c>
      <c r="D160">
        <f>VLOOKUP(表1_[[#This Row],[地区]],Sheet2!A:B,2,0)</f>
        <v>410000</v>
      </c>
      <c r="E160">
        <f>表1_[[#This Row],[属性]]+表1_[[#This Row],[行政区域]]</f>
        <v>412015</v>
      </c>
    </row>
    <row r="161" spans="1:5" x14ac:dyDescent="0.3">
      <c r="A161" t="s">
        <v>324</v>
      </c>
      <c r="B161">
        <v>2014</v>
      </c>
      <c r="C161">
        <v>81.25</v>
      </c>
      <c r="D161">
        <f>VLOOKUP(表1_[[#This Row],[地区]],Sheet2!A:B,2,0)</f>
        <v>410000</v>
      </c>
      <c r="E161">
        <f>表1_[[#This Row],[属性]]+表1_[[#This Row],[行政区域]]</f>
        <v>412014</v>
      </c>
    </row>
    <row r="162" spans="1:5" x14ac:dyDescent="0.3">
      <c r="A162" t="s">
        <v>325</v>
      </c>
      <c r="B162">
        <v>2023</v>
      </c>
      <c r="C162">
        <v>397.84</v>
      </c>
      <c r="D162">
        <f>VLOOKUP(表1_[[#This Row],[地区]],Sheet2!A:B,2,0)</f>
        <v>420000</v>
      </c>
      <c r="E162">
        <f>表1_[[#This Row],[属性]]+表1_[[#This Row],[行政区域]]</f>
        <v>422023</v>
      </c>
    </row>
    <row r="163" spans="1:5" x14ac:dyDescent="0.3">
      <c r="A163" t="s">
        <v>325</v>
      </c>
      <c r="B163">
        <v>2022</v>
      </c>
      <c r="C163">
        <v>376.55</v>
      </c>
      <c r="D163">
        <f>VLOOKUP(表1_[[#This Row],[地区]],Sheet2!A:B,2,0)</f>
        <v>420000</v>
      </c>
      <c r="E163">
        <f>表1_[[#This Row],[属性]]+表1_[[#This Row],[行政区域]]</f>
        <v>422022</v>
      </c>
    </row>
    <row r="164" spans="1:5" x14ac:dyDescent="0.3">
      <c r="A164" t="s">
        <v>325</v>
      </c>
      <c r="B164">
        <v>2021</v>
      </c>
      <c r="C164">
        <v>314.57</v>
      </c>
      <c r="D164">
        <f>VLOOKUP(表1_[[#This Row],[地区]],Sheet2!A:B,2,0)</f>
        <v>420000</v>
      </c>
      <c r="E164">
        <f>表1_[[#This Row],[属性]]+表1_[[#This Row],[行政区域]]</f>
        <v>422021</v>
      </c>
    </row>
    <row r="165" spans="1:5" x14ac:dyDescent="0.3">
      <c r="A165" t="s">
        <v>325</v>
      </c>
      <c r="B165">
        <v>2020</v>
      </c>
      <c r="C165">
        <v>287.85000000000002</v>
      </c>
      <c r="D165">
        <f>VLOOKUP(表1_[[#This Row],[地区]],Sheet2!A:B,2,0)</f>
        <v>420000</v>
      </c>
      <c r="E165">
        <f>表1_[[#This Row],[属性]]+表1_[[#This Row],[行政区域]]</f>
        <v>422020</v>
      </c>
    </row>
    <row r="166" spans="1:5" x14ac:dyDescent="0.3">
      <c r="A166" t="s">
        <v>325</v>
      </c>
      <c r="B166">
        <v>2019</v>
      </c>
      <c r="C166">
        <v>319.27999999999997</v>
      </c>
      <c r="D166">
        <f>VLOOKUP(表1_[[#This Row],[地区]],Sheet2!A:B,2,0)</f>
        <v>420000</v>
      </c>
      <c r="E166">
        <f>表1_[[#This Row],[属性]]+表1_[[#This Row],[行政区域]]</f>
        <v>422019</v>
      </c>
    </row>
    <row r="167" spans="1:5" x14ac:dyDescent="0.3">
      <c r="A167" t="s">
        <v>325</v>
      </c>
      <c r="B167">
        <v>2018</v>
      </c>
      <c r="C167">
        <v>268.49</v>
      </c>
      <c r="D167">
        <f>VLOOKUP(表1_[[#This Row],[地区]],Sheet2!A:B,2,0)</f>
        <v>420000</v>
      </c>
      <c r="E167">
        <f>表1_[[#This Row],[属性]]+表1_[[#This Row],[行政区域]]</f>
        <v>422018</v>
      </c>
    </row>
    <row r="168" spans="1:5" x14ac:dyDescent="0.3">
      <c r="A168" t="s">
        <v>325</v>
      </c>
      <c r="B168">
        <v>2017</v>
      </c>
      <c r="C168">
        <v>234.27</v>
      </c>
      <c r="D168">
        <f>VLOOKUP(表1_[[#This Row],[地区]],Sheet2!A:B,2,0)</f>
        <v>420000</v>
      </c>
      <c r="E168">
        <f>表1_[[#This Row],[属性]]+表1_[[#This Row],[行政区域]]</f>
        <v>422017</v>
      </c>
    </row>
    <row r="169" spans="1:5" x14ac:dyDescent="0.3">
      <c r="A169" t="s">
        <v>325</v>
      </c>
      <c r="B169">
        <v>2016</v>
      </c>
      <c r="C169">
        <v>190.11</v>
      </c>
      <c r="D169">
        <f>VLOOKUP(表1_[[#This Row],[地区]],Sheet2!A:B,2,0)</f>
        <v>420000</v>
      </c>
      <c r="E169">
        <f>表1_[[#This Row],[属性]]+表1_[[#This Row],[行政区域]]</f>
        <v>422016</v>
      </c>
    </row>
    <row r="170" spans="1:5" x14ac:dyDescent="0.3">
      <c r="A170" t="s">
        <v>325</v>
      </c>
      <c r="B170">
        <v>2015</v>
      </c>
      <c r="C170">
        <v>157.36000000000001</v>
      </c>
      <c r="D170">
        <f>VLOOKUP(表1_[[#This Row],[地区]],Sheet2!A:B,2,0)</f>
        <v>420000</v>
      </c>
      <c r="E170">
        <f>表1_[[#This Row],[属性]]+表1_[[#This Row],[行政区域]]</f>
        <v>422015</v>
      </c>
    </row>
    <row r="171" spans="1:5" x14ac:dyDescent="0.3">
      <c r="A171" t="s">
        <v>325</v>
      </c>
      <c r="B171">
        <v>2014</v>
      </c>
      <c r="C171">
        <v>134.46</v>
      </c>
      <c r="D171">
        <f>VLOOKUP(表1_[[#This Row],[地区]],Sheet2!A:B,2,0)</f>
        <v>420000</v>
      </c>
      <c r="E171">
        <f>表1_[[#This Row],[属性]]+表1_[[#This Row],[行政区域]]</f>
        <v>422014</v>
      </c>
    </row>
    <row r="172" spans="1:5" x14ac:dyDescent="0.3">
      <c r="A172" t="s">
        <v>326</v>
      </c>
      <c r="B172">
        <v>2023</v>
      </c>
      <c r="C172">
        <v>314.12</v>
      </c>
      <c r="D172">
        <f>VLOOKUP(表1_[[#This Row],[地区]],Sheet2!A:B,2,0)</f>
        <v>430000</v>
      </c>
      <c r="E172">
        <f>表1_[[#This Row],[属性]]+表1_[[#This Row],[行政区域]]</f>
        <v>432023</v>
      </c>
    </row>
    <row r="173" spans="1:5" x14ac:dyDescent="0.3">
      <c r="A173" t="s">
        <v>326</v>
      </c>
      <c r="B173">
        <v>2022</v>
      </c>
      <c r="C173">
        <v>279.64999999999998</v>
      </c>
      <c r="D173">
        <f>VLOOKUP(表1_[[#This Row],[地区]],Sheet2!A:B,2,0)</f>
        <v>430000</v>
      </c>
      <c r="E173">
        <f>表1_[[#This Row],[属性]]+表1_[[#This Row],[行政区域]]</f>
        <v>432022</v>
      </c>
    </row>
    <row r="174" spans="1:5" x14ac:dyDescent="0.3">
      <c r="A174" t="s">
        <v>326</v>
      </c>
      <c r="B174">
        <v>2021</v>
      </c>
      <c r="C174">
        <v>217.3</v>
      </c>
      <c r="D174">
        <f>VLOOKUP(表1_[[#This Row],[地区]],Sheet2!A:B,2,0)</f>
        <v>430000</v>
      </c>
      <c r="E174">
        <f>表1_[[#This Row],[属性]]+表1_[[#This Row],[行政区域]]</f>
        <v>432021</v>
      </c>
    </row>
    <row r="175" spans="1:5" x14ac:dyDescent="0.3">
      <c r="A175" t="s">
        <v>326</v>
      </c>
      <c r="B175">
        <v>2020</v>
      </c>
      <c r="C175">
        <v>220.66</v>
      </c>
      <c r="D175">
        <f>VLOOKUP(表1_[[#This Row],[地区]],Sheet2!A:B,2,0)</f>
        <v>430000</v>
      </c>
      <c r="E175">
        <f>表1_[[#This Row],[属性]]+表1_[[#This Row],[行政区域]]</f>
        <v>432020</v>
      </c>
    </row>
    <row r="176" spans="1:5" x14ac:dyDescent="0.3">
      <c r="A176" t="s">
        <v>326</v>
      </c>
      <c r="B176">
        <v>2019</v>
      </c>
      <c r="C176">
        <v>171.92</v>
      </c>
      <c r="D176">
        <f>VLOOKUP(表1_[[#This Row],[地区]],Sheet2!A:B,2,0)</f>
        <v>430000</v>
      </c>
      <c r="E176">
        <f>表1_[[#This Row],[属性]]+表1_[[#This Row],[行政区域]]</f>
        <v>432019</v>
      </c>
    </row>
    <row r="177" spans="1:5" x14ac:dyDescent="0.3">
      <c r="A177" t="s">
        <v>326</v>
      </c>
      <c r="B177">
        <v>2018</v>
      </c>
      <c r="C177">
        <v>129.94</v>
      </c>
      <c r="D177">
        <f>VLOOKUP(表1_[[#This Row],[地区]],Sheet2!A:B,2,0)</f>
        <v>430000</v>
      </c>
      <c r="E177">
        <f>表1_[[#This Row],[属性]]+表1_[[#This Row],[行政区域]]</f>
        <v>432018</v>
      </c>
    </row>
    <row r="178" spans="1:5" x14ac:dyDescent="0.3">
      <c r="A178" t="s">
        <v>326</v>
      </c>
      <c r="B178">
        <v>2017</v>
      </c>
      <c r="C178">
        <v>91.42</v>
      </c>
      <c r="D178">
        <f>VLOOKUP(表1_[[#This Row],[地区]],Sheet2!A:B,2,0)</f>
        <v>430000</v>
      </c>
      <c r="E178">
        <f>表1_[[#This Row],[属性]]+表1_[[#This Row],[行政区域]]</f>
        <v>432017</v>
      </c>
    </row>
    <row r="179" spans="1:5" x14ac:dyDescent="0.3">
      <c r="A179" t="s">
        <v>326</v>
      </c>
      <c r="B179">
        <v>2016</v>
      </c>
      <c r="C179">
        <v>71.44</v>
      </c>
      <c r="D179">
        <f>VLOOKUP(表1_[[#This Row],[地区]],Sheet2!A:B,2,0)</f>
        <v>430000</v>
      </c>
      <c r="E179">
        <f>表1_[[#This Row],[属性]]+表1_[[#This Row],[行政区域]]</f>
        <v>432016</v>
      </c>
    </row>
    <row r="180" spans="1:5" x14ac:dyDescent="0.3">
      <c r="A180" t="s">
        <v>326</v>
      </c>
      <c r="B180">
        <v>2015</v>
      </c>
      <c r="C180">
        <v>66.260000000000005</v>
      </c>
      <c r="D180">
        <f>VLOOKUP(表1_[[#This Row],[地区]],Sheet2!A:B,2,0)</f>
        <v>430000</v>
      </c>
      <c r="E180">
        <f>表1_[[#This Row],[属性]]+表1_[[#This Row],[行政区域]]</f>
        <v>432015</v>
      </c>
    </row>
    <row r="181" spans="1:5" x14ac:dyDescent="0.3">
      <c r="A181" t="s">
        <v>326</v>
      </c>
      <c r="B181">
        <v>2014</v>
      </c>
      <c r="C181">
        <v>59.38</v>
      </c>
      <c r="D181">
        <f>VLOOKUP(表1_[[#This Row],[地区]],Sheet2!A:B,2,0)</f>
        <v>430000</v>
      </c>
      <c r="E181">
        <f>表1_[[#This Row],[属性]]+表1_[[#This Row],[行政区域]]</f>
        <v>432014</v>
      </c>
    </row>
    <row r="182" spans="1:5" x14ac:dyDescent="0.3">
      <c r="A182" t="s">
        <v>327</v>
      </c>
      <c r="B182">
        <v>2023</v>
      </c>
      <c r="C182">
        <v>980.46</v>
      </c>
      <c r="D182">
        <f>VLOOKUP(表1_[[#This Row],[地区]],Sheet2!A:B,2,0)</f>
        <v>440000</v>
      </c>
      <c r="E182">
        <f>表1_[[#This Row],[属性]]+表1_[[#This Row],[行政区域]]</f>
        <v>442023</v>
      </c>
    </row>
    <row r="183" spans="1:5" x14ac:dyDescent="0.3">
      <c r="A183" t="s">
        <v>327</v>
      </c>
      <c r="B183">
        <v>2022</v>
      </c>
      <c r="C183">
        <v>983.78</v>
      </c>
      <c r="D183">
        <f>VLOOKUP(表1_[[#This Row],[地区]],Sheet2!A:B,2,0)</f>
        <v>440000</v>
      </c>
      <c r="E183">
        <f>表1_[[#This Row],[属性]]+表1_[[#This Row],[行政区域]]</f>
        <v>442022</v>
      </c>
    </row>
    <row r="184" spans="1:5" x14ac:dyDescent="0.3">
      <c r="A184" t="s">
        <v>327</v>
      </c>
      <c r="B184">
        <v>2021</v>
      </c>
      <c r="C184">
        <v>982.76</v>
      </c>
      <c r="D184">
        <f>VLOOKUP(表1_[[#This Row],[地区]],Sheet2!A:B,2,0)</f>
        <v>440000</v>
      </c>
      <c r="E184">
        <f>表1_[[#This Row],[属性]]+表1_[[#This Row],[行政区域]]</f>
        <v>442021</v>
      </c>
    </row>
    <row r="185" spans="1:5" x14ac:dyDescent="0.3">
      <c r="A185" t="s">
        <v>327</v>
      </c>
      <c r="B185">
        <v>2020</v>
      </c>
      <c r="C185">
        <v>955.73</v>
      </c>
      <c r="D185">
        <f>VLOOKUP(表1_[[#This Row],[地区]],Sheet2!A:B,2,0)</f>
        <v>440000</v>
      </c>
      <c r="E185">
        <f>表1_[[#This Row],[属性]]+表1_[[#This Row],[行政区域]]</f>
        <v>442020</v>
      </c>
    </row>
    <row r="186" spans="1:5" x14ac:dyDescent="0.3">
      <c r="A186" t="s">
        <v>327</v>
      </c>
      <c r="B186">
        <v>2019</v>
      </c>
      <c r="C186">
        <v>1168.79</v>
      </c>
      <c r="D186">
        <f>VLOOKUP(表1_[[#This Row],[地区]],Sheet2!A:B,2,0)</f>
        <v>440000</v>
      </c>
      <c r="E186">
        <f>表1_[[#This Row],[属性]]+表1_[[#This Row],[行政区域]]</f>
        <v>442019</v>
      </c>
    </row>
    <row r="187" spans="1:5" x14ac:dyDescent="0.3">
      <c r="A187" t="s">
        <v>327</v>
      </c>
      <c r="B187">
        <v>2018</v>
      </c>
      <c r="C187">
        <v>1034.71</v>
      </c>
      <c r="D187">
        <f>VLOOKUP(表1_[[#This Row],[地区]],Sheet2!A:B,2,0)</f>
        <v>440000</v>
      </c>
      <c r="E187">
        <f>表1_[[#This Row],[属性]]+表1_[[#This Row],[行政区域]]</f>
        <v>442018</v>
      </c>
    </row>
    <row r="188" spans="1:5" x14ac:dyDescent="0.3">
      <c r="A188" t="s">
        <v>327</v>
      </c>
      <c r="B188">
        <v>2017</v>
      </c>
      <c r="C188">
        <v>823.89</v>
      </c>
      <c r="D188">
        <f>VLOOKUP(表1_[[#This Row],[地区]],Sheet2!A:B,2,0)</f>
        <v>440000</v>
      </c>
      <c r="E188">
        <f>表1_[[#This Row],[属性]]+表1_[[#This Row],[行政区域]]</f>
        <v>442017</v>
      </c>
    </row>
    <row r="189" spans="1:5" x14ac:dyDescent="0.3">
      <c r="A189" t="s">
        <v>327</v>
      </c>
      <c r="B189">
        <v>2016</v>
      </c>
      <c r="C189">
        <v>742.97</v>
      </c>
      <c r="D189">
        <f>VLOOKUP(表1_[[#This Row],[地区]],Sheet2!A:B,2,0)</f>
        <v>440000</v>
      </c>
      <c r="E189">
        <f>表1_[[#This Row],[属性]]+表1_[[#This Row],[行政区域]]</f>
        <v>442016</v>
      </c>
    </row>
    <row r="190" spans="1:5" x14ac:dyDescent="0.3">
      <c r="A190" t="s">
        <v>327</v>
      </c>
      <c r="B190">
        <v>2015</v>
      </c>
      <c r="C190">
        <v>569.54999999999995</v>
      </c>
      <c r="D190">
        <f>VLOOKUP(表1_[[#This Row],[地区]],Sheet2!A:B,2,0)</f>
        <v>440000</v>
      </c>
      <c r="E190">
        <f>表1_[[#This Row],[属性]]+表1_[[#This Row],[行政区域]]</f>
        <v>442015</v>
      </c>
    </row>
    <row r="191" spans="1:5" x14ac:dyDescent="0.3">
      <c r="A191" t="s">
        <v>327</v>
      </c>
      <c r="B191">
        <v>2014</v>
      </c>
      <c r="C191">
        <v>274.33</v>
      </c>
      <c r="D191">
        <f>VLOOKUP(表1_[[#This Row],[地区]],Sheet2!A:B,2,0)</f>
        <v>440000</v>
      </c>
      <c r="E191">
        <f>表1_[[#This Row],[属性]]+表1_[[#This Row],[行政区域]]</f>
        <v>442014</v>
      </c>
    </row>
    <row r="192" spans="1:5" x14ac:dyDescent="0.3">
      <c r="A192" t="s">
        <v>328</v>
      </c>
      <c r="B192">
        <v>2023</v>
      </c>
      <c r="C192">
        <v>107.31</v>
      </c>
      <c r="D192">
        <f>VLOOKUP(表1_[[#This Row],[地区]],Sheet2!A:B,2,0)</f>
        <v>450000</v>
      </c>
      <c r="E192">
        <f>表1_[[#This Row],[属性]]+表1_[[#This Row],[行政区域]]</f>
        <v>452023</v>
      </c>
    </row>
    <row r="193" spans="1:5" x14ac:dyDescent="0.3">
      <c r="A193" t="s">
        <v>328</v>
      </c>
      <c r="B193">
        <v>2022</v>
      </c>
      <c r="C193">
        <v>104.12</v>
      </c>
      <c r="D193">
        <f>VLOOKUP(表1_[[#This Row],[地区]],Sheet2!A:B,2,0)</f>
        <v>450000</v>
      </c>
      <c r="E193">
        <f>表1_[[#This Row],[属性]]+表1_[[#This Row],[行政区域]]</f>
        <v>452022</v>
      </c>
    </row>
    <row r="194" spans="1:5" x14ac:dyDescent="0.3">
      <c r="A194" t="s">
        <v>328</v>
      </c>
      <c r="B194">
        <v>2021</v>
      </c>
      <c r="C194">
        <v>71.13</v>
      </c>
      <c r="D194">
        <f>VLOOKUP(表1_[[#This Row],[地区]],Sheet2!A:B,2,0)</f>
        <v>450000</v>
      </c>
      <c r="E194">
        <f>表1_[[#This Row],[属性]]+表1_[[#This Row],[行政区域]]</f>
        <v>452021</v>
      </c>
    </row>
    <row r="195" spans="1:5" x14ac:dyDescent="0.3">
      <c r="A195" t="s">
        <v>328</v>
      </c>
      <c r="B195">
        <v>2020</v>
      </c>
      <c r="C195">
        <v>66.260000000000005</v>
      </c>
      <c r="D195">
        <f>VLOOKUP(表1_[[#This Row],[地区]],Sheet2!A:B,2,0)</f>
        <v>450000</v>
      </c>
      <c r="E195">
        <f>表1_[[#This Row],[属性]]+表1_[[#This Row],[行政区域]]</f>
        <v>452020</v>
      </c>
    </row>
    <row r="196" spans="1:5" x14ac:dyDescent="0.3">
      <c r="A196" t="s">
        <v>328</v>
      </c>
      <c r="B196">
        <v>2019</v>
      </c>
      <c r="C196">
        <v>72.33</v>
      </c>
      <c r="D196">
        <f>VLOOKUP(表1_[[#This Row],[地区]],Sheet2!A:B,2,0)</f>
        <v>450000</v>
      </c>
      <c r="E196">
        <f>表1_[[#This Row],[属性]]+表1_[[#This Row],[行政区域]]</f>
        <v>452019</v>
      </c>
    </row>
    <row r="197" spans="1:5" x14ac:dyDescent="0.3">
      <c r="A197" t="s">
        <v>328</v>
      </c>
      <c r="B197">
        <v>2018</v>
      </c>
      <c r="C197">
        <v>64.430000000000007</v>
      </c>
      <c r="D197">
        <f>VLOOKUP(表1_[[#This Row],[地区]],Sheet2!A:B,2,0)</f>
        <v>450000</v>
      </c>
      <c r="E197">
        <f>表1_[[#This Row],[属性]]+表1_[[#This Row],[行政区域]]</f>
        <v>452018</v>
      </c>
    </row>
    <row r="198" spans="1:5" x14ac:dyDescent="0.3">
      <c r="A198" t="s">
        <v>328</v>
      </c>
      <c r="B198">
        <v>2017</v>
      </c>
      <c r="C198">
        <v>60.04</v>
      </c>
      <c r="D198">
        <f>VLOOKUP(表1_[[#This Row],[地区]],Sheet2!A:B,2,0)</f>
        <v>450000</v>
      </c>
      <c r="E198">
        <f>表1_[[#This Row],[属性]]+表1_[[#This Row],[行政区域]]</f>
        <v>452017</v>
      </c>
    </row>
    <row r="199" spans="1:5" x14ac:dyDescent="0.3">
      <c r="A199" t="s">
        <v>328</v>
      </c>
      <c r="B199">
        <v>2016</v>
      </c>
      <c r="C199">
        <v>45.2</v>
      </c>
      <c r="D199">
        <f>VLOOKUP(表1_[[#This Row],[地区]],Sheet2!A:B,2,0)</f>
        <v>450000</v>
      </c>
      <c r="E199">
        <f>表1_[[#This Row],[属性]]+表1_[[#This Row],[行政区域]]</f>
        <v>452016</v>
      </c>
    </row>
    <row r="200" spans="1:5" x14ac:dyDescent="0.3">
      <c r="A200" t="s">
        <v>328</v>
      </c>
      <c r="B200">
        <v>2015</v>
      </c>
      <c r="C200">
        <v>49.63</v>
      </c>
      <c r="D200">
        <f>VLOOKUP(表1_[[#This Row],[地区]],Sheet2!A:B,2,0)</f>
        <v>450000</v>
      </c>
      <c r="E200">
        <f>表1_[[#This Row],[属性]]+表1_[[#This Row],[行政区域]]</f>
        <v>452015</v>
      </c>
    </row>
    <row r="201" spans="1:5" x14ac:dyDescent="0.3">
      <c r="A201" t="s">
        <v>328</v>
      </c>
      <c r="B201">
        <v>2014</v>
      </c>
      <c r="C201">
        <v>59.92</v>
      </c>
      <c r="D201">
        <f>VLOOKUP(表1_[[#This Row],[地区]],Sheet2!A:B,2,0)</f>
        <v>450000</v>
      </c>
      <c r="E201">
        <f>表1_[[#This Row],[属性]]+表1_[[#This Row],[行政区域]]</f>
        <v>452014</v>
      </c>
    </row>
    <row r="202" spans="1:5" x14ac:dyDescent="0.3">
      <c r="A202" t="s">
        <v>329</v>
      </c>
      <c r="B202">
        <v>2023</v>
      </c>
      <c r="C202">
        <v>69.540000000000006</v>
      </c>
      <c r="D202">
        <f>VLOOKUP(表1_[[#This Row],[地区]],Sheet2!A:B,2,0)</f>
        <v>460000</v>
      </c>
      <c r="E202">
        <f>表1_[[#This Row],[属性]]+表1_[[#This Row],[行政区域]]</f>
        <v>462023</v>
      </c>
    </row>
    <row r="203" spans="1:5" x14ac:dyDescent="0.3">
      <c r="A203" t="s">
        <v>329</v>
      </c>
      <c r="B203">
        <v>2022</v>
      </c>
      <c r="C203">
        <v>69.16</v>
      </c>
      <c r="D203">
        <f>VLOOKUP(表1_[[#This Row],[地区]],Sheet2!A:B,2,0)</f>
        <v>460000</v>
      </c>
      <c r="E203">
        <f>表1_[[#This Row],[属性]]+表1_[[#This Row],[行政区域]]</f>
        <v>462022</v>
      </c>
    </row>
    <row r="204" spans="1:5" x14ac:dyDescent="0.3">
      <c r="A204" t="s">
        <v>329</v>
      </c>
      <c r="B204">
        <v>2021</v>
      </c>
      <c r="C204">
        <v>40.47</v>
      </c>
      <c r="D204">
        <f>VLOOKUP(表1_[[#This Row],[地区]],Sheet2!A:B,2,0)</f>
        <v>460000</v>
      </c>
      <c r="E204">
        <f>表1_[[#This Row],[属性]]+表1_[[#This Row],[行政区域]]</f>
        <v>462021</v>
      </c>
    </row>
    <row r="205" spans="1:5" x14ac:dyDescent="0.3">
      <c r="A205" t="s">
        <v>329</v>
      </c>
      <c r="B205">
        <v>2020</v>
      </c>
      <c r="C205">
        <v>35.67</v>
      </c>
      <c r="D205">
        <f>VLOOKUP(表1_[[#This Row],[地区]],Sheet2!A:B,2,0)</f>
        <v>460000</v>
      </c>
      <c r="E205">
        <f>表1_[[#This Row],[属性]]+表1_[[#This Row],[行政区域]]</f>
        <v>462020</v>
      </c>
    </row>
    <row r="206" spans="1:5" x14ac:dyDescent="0.3">
      <c r="A206" t="s">
        <v>329</v>
      </c>
      <c r="B206">
        <v>2019</v>
      </c>
      <c r="C206">
        <v>30.1</v>
      </c>
      <c r="D206">
        <f>VLOOKUP(表1_[[#This Row],[地区]],Sheet2!A:B,2,0)</f>
        <v>460000</v>
      </c>
      <c r="E206">
        <f>表1_[[#This Row],[属性]]+表1_[[#This Row],[行政区域]]</f>
        <v>462019</v>
      </c>
    </row>
    <row r="207" spans="1:5" x14ac:dyDescent="0.3">
      <c r="A207" t="s">
        <v>329</v>
      </c>
      <c r="B207">
        <v>2018</v>
      </c>
      <c r="C207">
        <v>15.04</v>
      </c>
      <c r="D207">
        <f>VLOOKUP(表1_[[#This Row],[地区]],Sheet2!A:B,2,0)</f>
        <v>460000</v>
      </c>
      <c r="E207">
        <f>表1_[[#This Row],[属性]]+表1_[[#This Row],[行政区域]]</f>
        <v>462018</v>
      </c>
    </row>
    <row r="208" spans="1:5" x14ac:dyDescent="0.3">
      <c r="A208" t="s">
        <v>329</v>
      </c>
      <c r="B208">
        <v>2017</v>
      </c>
      <c r="C208">
        <v>12.47</v>
      </c>
      <c r="D208">
        <f>VLOOKUP(表1_[[#This Row],[地区]],Sheet2!A:B,2,0)</f>
        <v>460000</v>
      </c>
      <c r="E208">
        <f>表1_[[#This Row],[属性]]+表1_[[#This Row],[行政区域]]</f>
        <v>462017</v>
      </c>
    </row>
    <row r="209" spans="1:5" x14ac:dyDescent="0.3">
      <c r="A209" t="s">
        <v>329</v>
      </c>
      <c r="B209">
        <v>2016</v>
      </c>
      <c r="C209">
        <v>15.69</v>
      </c>
      <c r="D209">
        <f>VLOOKUP(表1_[[#This Row],[地区]],Sheet2!A:B,2,0)</f>
        <v>460000</v>
      </c>
      <c r="E209">
        <f>表1_[[#This Row],[属性]]+表1_[[#This Row],[行政区域]]</f>
        <v>462016</v>
      </c>
    </row>
    <row r="210" spans="1:5" x14ac:dyDescent="0.3">
      <c r="A210" t="s">
        <v>329</v>
      </c>
      <c r="B210">
        <v>2015</v>
      </c>
      <c r="C210">
        <v>12.38</v>
      </c>
      <c r="D210">
        <f>VLOOKUP(表1_[[#This Row],[地区]],Sheet2!A:B,2,0)</f>
        <v>460000</v>
      </c>
      <c r="E210">
        <f>表1_[[#This Row],[属性]]+表1_[[#This Row],[行政区域]]</f>
        <v>462015</v>
      </c>
    </row>
    <row r="211" spans="1:5" x14ac:dyDescent="0.3">
      <c r="A211" t="s">
        <v>329</v>
      </c>
      <c r="B211">
        <v>2014</v>
      </c>
      <c r="C211">
        <v>13.53</v>
      </c>
      <c r="D211">
        <f>VLOOKUP(表1_[[#This Row],[地区]],Sheet2!A:B,2,0)</f>
        <v>460000</v>
      </c>
      <c r="E211">
        <f>表1_[[#This Row],[属性]]+表1_[[#This Row],[行政区域]]</f>
        <v>462014</v>
      </c>
    </row>
    <row r="212" spans="1:5" x14ac:dyDescent="0.3">
      <c r="A212" t="s">
        <v>330</v>
      </c>
      <c r="B212">
        <v>2023</v>
      </c>
      <c r="C212">
        <v>102.54</v>
      </c>
      <c r="D212">
        <f>VLOOKUP(表1_[[#This Row],[地区]],Sheet2!A:B,2,0)</f>
        <v>500000</v>
      </c>
      <c r="E212">
        <f>表1_[[#This Row],[属性]]+表1_[[#This Row],[行政区域]]</f>
        <v>502023</v>
      </c>
    </row>
    <row r="213" spans="1:5" x14ac:dyDescent="0.3">
      <c r="A213" t="s">
        <v>330</v>
      </c>
      <c r="B213">
        <v>2022</v>
      </c>
      <c r="C213">
        <v>98.89</v>
      </c>
      <c r="D213">
        <f>VLOOKUP(表1_[[#This Row],[地区]],Sheet2!A:B,2,0)</f>
        <v>500000</v>
      </c>
      <c r="E213">
        <f>表1_[[#This Row],[属性]]+表1_[[#This Row],[行政区域]]</f>
        <v>502022</v>
      </c>
    </row>
    <row r="214" spans="1:5" x14ac:dyDescent="0.3">
      <c r="A214" t="s">
        <v>330</v>
      </c>
      <c r="B214">
        <v>2021</v>
      </c>
      <c r="C214">
        <v>92.64</v>
      </c>
      <c r="D214">
        <f>VLOOKUP(表1_[[#This Row],[地区]],Sheet2!A:B,2,0)</f>
        <v>500000</v>
      </c>
      <c r="E214">
        <f>表1_[[#This Row],[属性]]+表1_[[#This Row],[行政区域]]</f>
        <v>502021</v>
      </c>
    </row>
    <row r="215" spans="1:5" x14ac:dyDescent="0.3">
      <c r="A215" t="s">
        <v>330</v>
      </c>
      <c r="B215">
        <v>2020</v>
      </c>
      <c r="C215">
        <v>82.87</v>
      </c>
      <c r="D215">
        <f>VLOOKUP(表1_[[#This Row],[地区]],Sheet2!A:B,2,0)</f>
        <v>500000</v>
      </c>
      <c r="E215">
        <f>表1_[[#This Row],[属性]]+表1_[[#This Row],[行政区域]]</f>
        <v>502020</v>
      </c>
    </row>
    <row r="216" spans="1:5" x14ac:dyDescent="0.3">
      <c r="A216" t="s">
        <v>330</v>
      </c>
      <c r="B216">
        <v>2019</v>
      </c>
      <c r="C216">
        <v>79.23</v>
      </c>
      <c r="D216">
        <f>VLOOKUP(表1_[[#This Row],[地区]],Sheet2!A:B,2,0)</f>
        <v>500000</v>
      </c>
      <c r="E216">
        <f>表1_[[#This Row],[属性]]+表1_[[#This Row],[行政区域]]</f>
        <v>502019</v>
      </c>
    </row>
    <row r="217" spans="1:5" x14ac:dyDescent="0.3">
      <c r="A217" t="s">
        <v>330</v>
      </c>
      <c r="B217">
        <v>2018</v>
      </c>
      <c r="C217">
        <v>68.59</v>
      </c>
      <c r="D217">
        <f>VLOOKUP(表1_[[#This Row],[地区]],Sheet2!A:B,2,0)</f>
        <v>500000</v>
      </c>
      <c r="E217">
        <f>表1_[[#This Row],[属性]]+表1_[[#This Row],[行政区域]]</f>
        <v>502018</v>
      </c>
    </row>
    <row r="218" spans="1:5" x14ac:dyDescent="0.3">
      <c r="A218" t="s">
        <v>330</v>
      </c>
      <c r="B218">
        <v>2017</v>
      </c>
      <c r="C218">
        <v>59.31</v>
      </c>
      <c r="D218">
        <f>VLOOKUP(表1_[[#This Row],[地区]],Sheet2!A:B,2,0)</f>
        <v>500000</v>
      </c>
      <c r="E218">
        <f>表1_[[#This Row],[属性]]+表1_[[#This Row],[行政区域]]</f>
        <v>502017</v>
      </c>
    </row>
    <row r="219" spans="1:5" x14ac:dyDescent="0.3">
      <c r="A219" t="s">
        <v>330</v>
      </c>
      <c r="B219">
        <v>2016</v>
      </c>
      <c r="C219">
        <v>51.62</v>
      </c>
      <c r="D219">
        <f>VLOOKUP(表1_[[#This Row],[地区]],Sheet2!A:B,2,0)</f>
        <v>500000</v>
      </c>
      <c r="E219">
        <f>表1_[[#This Row],[属性]]+表1_[[#This Row],[行政区域]]</f>
        <v>502016</v>
      </c>
    </row>
    <row r="220" spans="1:5" x14ac:dyDescent="0.3">
      <c r="A220" t="s">
        <v>330</v>
      </c>
      <c r="B220">
        <v>2015</v>
      </c>
      <c r="C220">
        <v>45.67</v>
      </c>
      <c r="D220">
        <f>VLOOKUP(表1_[[#This Row],[地区]],Sheet2!A:B,2,0)</f>
        <v>500000</v>
      </c>
      <c r="E220">
        <f>表1_[[#This Row],[属性]]+表1_[[#This Row],[行政区域]]</f>
        <v>502015</v>
      </c>
    </row>
    <row r="221" spans="1:5" x14ac:dyDescent="0.3">
      <c r="A221" t="s">
        <v>330</v>
      </c>
      <c r="B221">
        <v>2014</v>
      </c>
      <c r="C221">
        <v>38.159999999999997</v>
      </c>
      <c r="D221">
        <f>VLOOKUP(表1_[[#This Row],[地区]],Sheet2!A:B,2,0)</f>
        <v>500000</v>
      </c>
      <c r="E221">
        <f>表1_[[#This Row],[属性]]+表1_[[#This Row],[行政区域]]</f>
        <v>502014</v>
      </c>
    </row>
    <row r="222" spans="1:5" x14ac:dyDescent="0.3">
      <c r="A222" t="s">
        <v>331</v>
      </c>
      <c r="B222">
        <v>2023</v>
      </c>
      <c r="C222">
        <v>244.12</v>
      </c>
      <c r="D222">
        <f>VLOOKUP(表1_[[#This Row],[地区]],Sheet2!A:B,2,0)</f>
        <v>510000</v>
      </c>
      <c r="E222">
        <f>表1_[[#This Row],[属性]]+表1_[[#This Row],[行政区域]]</f>
        <v>512023</v>
      </c>
    </row>
    <row r="223" spans="1:5" x14ac:dyDescent="0.3">
      <c r="A223" t="s">
        <v>331</v>
      </c>
      <c r="B223">
        <v>2022</v>
      </c>
      <c r="C223">
        <v>229.12</v>
      </c>
      <c r="D223">
        <f>VLOOKUP(表1_[[#This Row],[地区]],Sheet2!A:B,2,0)</f>
        <v>510000</v>
      </c>
      <c r="E223">
        <f>表1_[[#This Row],[属性]]+表1_[[#This Row],[行政区域]]</f>
        <v>512022</v>
      </c>
    </row>
    <row r="224" spans="1:5" x14ac:dyDescent="0.3">
      <c r="A224" t="s">
        <v>331</v>
      </c>
      <c r="B224">
        <v>2021</v>
      </c>
      <c r="C224">
        <v>273.12</v>
      </c>
      <c r="D224">
        <f>VLOOKUP(表1_[[#This Row],[地区]],Sheet2!A:B,2,0)</f>
        <v>510000</v>
      </c>
      <c r="E224">
        <f>表1_[[#This Row],[属性]]+表1_[[#This Row],[行政区域]]</f>
        <v>512021</v>
      </c>
    </row>
    <row r="225" spans="1:5" x14ac:dyDescent="0.3">
      <c r="A225" t="s">
        <v>331</v>
      </c>
      <c r="B225">
        <v>2020</v>
      </c>
      <c r="C225">
        <v>181.7</v>
      </c>
      <c r="D225">
        <f>VLOOKUP(表1_[[#This Row],[地区]],Sheet2!A:B,2,0)</f>
        <v>510000</v>
      </c>
      <c r="E225">
        <f>表1_[[#This Row],[属性]]+表1_[[#This Row],[行政区域]]</f>
        <v>512020</v>
      </c>
    </row>
    <row r="226" spans="1:5" x14ac:dyDescent="0.3">
      <c r="A226" t="s">
        <v>331</v>
      </c>
      <c r="B226">
        <v>2019</v>
      </c>
      <c r="C226">
        <v>184.95</v>
      </c>
      <c r="D226">
        <f>VLOOKUP(表1_[[#This Row],[地区]],Sheet2!A:B,2,0)</f>
        <v>510000</v>
      </c>
      <c r="E226">
        <f>表1_[[#This Row],[属性]]+表1_[[#This Row],[行政区域]]</f>
        <v>512019</v>
      </c>
    </row>
    <row r="227" spans="1:5" x14ac:dyDescent="0.3">
      <c r="A227" t="s">
        <v>331</v>
      </c>
      <c r="B227">
        <v>2018</v>
      </c>
      <c r="C227">
        <v>147.91</v>
      </c>
      <c r="D227">
        <f>VLOOKUP(表1_[[#This Row],[地区]],Sheet2!A:B,2,0)</f>
        <v>510000</v>
      </c>
      <c r="E227">
        <f>表1_[[#This Row],[属性]]+表1_[[#This Row],[行政区域]]</f>
        <v>512018</v>
      </c>
    </row>
    <row r="228" spans="1:5" x14ac:dyDescent="0.3">
      <c r="A228" t="s">
        <v>331</v>
      </c>
      <c r="B228">
        <v>2017</v>
      </c>
      <c r="C228">
        <v>106.57</v>
      </c>
      <c r="D228">
        <f>VLOOKUP(表1_[[#This Row],[地区]],Sheet2!A:B,2,0)</f>
        <v>510000</v>
      </c>
      <c r="E228">
        <f>表1_[[#This Row],[属性]]+表1_[[#This Row],[行政区域]]</f>
        <v>512017</v>
      </c>
    </row>
    <row r="229" spans="1:5" x14ac:dyDescent="0.3">
      <c r="A229" t="s">
        <v>331</v>
      </c>
      <c r="B229">
        <v>2016</v>
      </c>
      <c r="C229">
        <v>101.09</v>
      </c>
      <c r="D229">
        <f>VLOOKUP(表1_[[#This Row],[地区]],Sheet2!A:B,2,0)</f>
        <v>510000</v>
      </c>
      <c r="E229">
        <f>表1_[[#This Row],[属性]]+表1_[[#This Row],[行政区域]]</f>
        <v>512016</v>
      </c>
    </row>
    <row r="230" spans="1:5" x14ac:dyDescent="0.3">
      <c r="A230" t="s">
        <v>331</v>
      </c>
      <c r="B230">
        <v>2015</v>
      </c>
      <c r="C230">
        <v>96.69</v>
      </c>
      <c r="D230">
        <f>VLOOKUP(表1_[[#This Row],[地区]],Sheet2!A:B,2,0)</f>
        <v>510000</v>
      </c>
      <c r="E230">
        <f>表1_[[#This Row],[属性]]+表1_[[#This Row],[行政区域]]</f>
        <v>512015</v>
      </c>
    </row>
    <row r="231" spans="1:5" x14ac:dyDescent="0.3">
      <c r="A231" t="s">
        <v>331</v>
      </c>
      <c r="B231">
        <v>2014</v>
      </c>
      <c r="C231">
        <v>81.760000000000005</v>
      </c>
      <c r="D231">
        <f>VLOOKUP(表1_[[#This Row],[地区]],Sheet2!A:B,2,0)</f>
        <v>510000</v>
      </c>
      <c r="E231">
        <f>表1_[[#This Row],[属性]]+表1_[[#This Row],[行政区域]]</f>
        <v>512014</v>
      </c>
    </row>
    <row r="232" spans="1:5" x14ac:dyDescent="0.3">
      <c r="A232" t="s">
        <v>332</v>
      </c>
      <c r="B232">
        <v>2023</v>
      </c>
      <c r="C232">
        <v>80.06</v>
      </c>
      <c r="D232">
        <f>VLOOKUP(表1_[[#This Row],[地区]],Sheet2!A:B,2,0)</f>
        <v>520000</v>
      </c>
      <c r="E232">
        <f>表1_[[#This Row],[属性]]+表1_[[#This Row],[行政区域]]</f>
        <v>522023</v>
      </c>
    </row>
    <row r="233" spans="1:5" x14ac:dyDescent="0.3">
      <c r="A233" t="s">
        <v>332</v>
      </c>
      <c r="B233">
        <v>2022</v>
      </c>
      <c r="C233">
        <v>88.86</v>
      </c>
      <c r="D233">
        <f>VLOOKUP(表1_[[#This Row],[地区]],Sheet2!A:B,2,0)</f>
        <v>520000</v>
      </c>
      <c r="E233">
        <f>表1_[[#This Row],[属性]]+表1_[[#This Row],[行政区域]]</f>
        <v>522022</v>
      </c>
    </row>
    <row r="234" spans="1:5" x14ac:dyDescent="0.3">
      <c r="A234" t="s">
        <v>332</v>
      </c>
      <c r="B234">
        <v>2021</v>
      </c>
      <c r="C234">
        <v>88.34</v>
      </c>
      <c r="D234">
        <f>VLOOKUP(表1_[[#This Row],[地区]],Sheet2!A:B,2,0)</f>
        <v>520000</v>
      </c>
      <c r="E234">
        <f>表1_[[#This Row],[属性]]+表1_[[#This Row],[行政区域]]</f>
        <v>522021</v>
      </c>
    </row>
    <row r="235" spans="1:5" x14ac:dyDescent="0.3">
      <c r="A235" t="s">
        <v>332</v>
      </c>
      <c r="B235">
        <v>2020</v>
      </c>
      <c r="C235">
        <v>113.19</v>
      </c>
      <c r="D235">
        <f>VLOOKUP(表1_[[#This Row],[地区]],Sheet2!A:B,2,0)</f>
        <v>520000</v>
      </c>
      <c r="E235">
        <f>表1_[[#This Row],[属性]]+表1_[[#This Row],[行政区域]]</f>
        <v>522020</v>
      </c>
    </row>
    <row r="236" spans="1:5" x14ac:dyDescent="0.3">
      <c r="A236" t="s">
        <v>332</v>
      </c>
      <c r="B236">
        <v>2019</v>
      </c>
      <c r="C236">
        <v>114.13</v>
      </c>
      <c r="D236">
        <f>VLOOKUP(表1_[[#This Row],[地区]],Sheet2!A:B,2,0)</f>
        <v>520000</v>
      </c>
      <c r="E236">
        <f>表1_[[#This Row],[属性]]+表1_[[#This Row],[行政区域]]</f>
        <v>522019</v>
      </c>
    </row>
    <row r="237" spans="1:5" x14ac:dyDescent="0.3">
      <c r="A237" t="s">
        <v>332</v>
      </c>
      <c r="B237">
        <v>2018</v>
      </c>
      <c r="C237">
        <v>102.88</v>
      </c>
      <c r="D237">
        <f>VLOOKUP(表1_[[#This Row],[地区]],Sheet2!A:B,2,0)</f>
        <v>520000</v>
      </c>
      <c r="E237">
        <f>表1_[[#This Row],[属性]]+表1_[[#This Row],[行政区域]]</f>
        <v>522018</v>
      </c>
    </row>
    <row r="238" spans="1:5" x14ac:dyDescent="0.3">
      <c r="A238" t="s">
        <v>332</v>
      </c>
      <c r="B238">
        <v>2017</v>
      </c>
      <c r="C238">
        <v>87.72</v>
      </c>
      <c r="D238">
        <f>VLOOKUP(表1_[[#This Row],[地区]],Sheet2!A:B,2,0)</f>
        <v>520000</v>
      </c>
      <c r="E238">
        <f>表1_[[#This Row],[属性]]+表1_[[#This Row],[行政区域]]</f>
        <v>522017</v>
      </c>
    </row>
    <row r="239" spans="1:5" x14ac:dyDescent="0.3">
      <c r="A239" t="s">
        <v>332</v>
      </c>
      <c r="B239">
        <v>2016</v>
      </c>
      <c r="C239">
        <v>69.3</v>
      </c>
      <c r="D239">
        <f>VLOOKUP(表1_[[#This Row],[地区]],Sheet2!A:B,2,0)</f>
        <v>520000</v>
      </c>
      <c r="E239">
        <f>表1_[[#This Row],[属性]]+表1_[[#This Row],[行政区域]]</f>
        <v>522016</v>
      </c>
    </row>
    <row r="240" spans="1:5" x14ac:dyDescent="0.3">
      <c r="A240" t="s">
        <v>332</v>
      </c>
      <c r="B240">
        <v>2015</v>
      </c>
      <c r="C240">
        <v>58.68</v>
      </c>
      <c r="D240">
        <f>VLOOKUP(表1_[[#This Row],[地区]],Sheet2!A:B,2,0)</f>
        <v>520000</v>
      </c>
      <c r="E240">
        <f>表1_[[#This Row],[属性]]+表1_[[#This Row],[行政区域]]</f>
        <v>522015</v>
      </c>
    </row>
    <row r="241" spans="1:5" x14ac:dyDescent="0.3">
      <c r="A241" t="s">
        <v>332</v>
      </c>
      <c r="B241">
        <v>2014</v>
      </c>
      <c r="C241">
        <v>44.34</v>
      </c>
      <c r="D241">
        <f>VLOOKUP(表1_[[#This Row],[地区]],Sheet2!A:B,2,0)</f>
        <v>520000</v>
      </c>
      <c r="E241">
        <f>表1_[[#This Row],[属性]]+表1_[[#This Row],[行政区域]]</f>
        <v>522014</v>
      </c>
    </row>
    <row r="242" spans="1:5" x14ac:dyDescent="0.3">
      <c r="A242" t="s">
        <v>333</v>
      </c>
      <c r="B242">
        <v>2023</v>
      </c>
      <c r="C242">
        <v>61.33</v>
      </c>
      <c r="D242">
        <f>VLOOKUP(表1_[[#This Row],[地区]],Sheet2!A:B,2,0)</f>
        <v>530000</v>
      </c>
      <c r="E242">
        <f>表1_[[#This Row],[属性]]+表1_[[#This Row],[行政区域]]</f>
        <v>532023</v>
      </c>
    </row>
    <row r="243" spans="1:5" x14ac:dyDescent="0.3">
      <c r="A243" t="s">
        <v>333</v>
      </c>
      <c r="B243">
        <v>2022</v>
      </c>
      <c r="C243">
        <v>58.97</v>
      </c>
      <c r="D243">
        <f>VLOOKUP(表1_[[#This Row],[地区]],Sheet2!A:B,2,0)</f>
        <v>530000</v>
      </c>
      <c r="E243">
        <f>表1_[[#This Row],[属性]]+表1_[[#This Row],[行政区域]]</f>
        <v>532022</v>
      </c>
    </row>
    <row r="244" spans="1:5" x14ac:dyDescent="0.3">
      <c r="A244" t="s">
        <v>333</v>
      </c>
      <c r="B244">
        <v>2021</v>
      </c>
      <c r="C244">
        <v>61.85</v>
      </c>
      <c r="D244">
        <f>VLOOKUP(表1_[[#This Row],[地区]],Sheet2!A:B,2,0)</f>
        <v>530000</v>
      </c>
      <c r="E244">
        <f>表1_[[#This Row],[属性]]+表1_[[#This Row],[行政区域]]</f>
        <v>532021</v>
      </c>
    </row>
    <row r="245" spans="1:5" x14ac:dyDescent="0.3">
      <c r="A245" t="s">
        <v>333</v>
      </c>
      <c r="B245">
        <v>2020</v>
      </c>
      <c r="C245">
        <v>64.94</v>
      </c>
      <c r="D245">
        <f>VLOOKUP(表1_[[#This Row],[地区]],Sheet2!A:B,2,0)</f>
        <v>530000</v>
      </c>
      <c r="E245">
        <f>表1_[[#This Row],[属性]]+表1_[[#This Row],[行政区域]]</f>
        <v>532020</v>
      </c>
    </row>
    <row r="246" spans="1:5" x14ac:dyDescent="0.3">
      <c r="A246" t="s">
        <v>333</v>
      </c>
      <c r="B246">
        <v>2019</v>
      </c>
      <c r="C246">
        <v>59</v>
      </c>
      <c r="D246">
        <f>VLOOKUP(表1_[[#This Row],[地区]],Sheet2!A:B,2,0)</f>
        <v>530000</v>
      </c>
      <c r="E246">
        <f>表1_[[#This Row],[属性]]+表1_[[#This Row],[行政区域]]</f>
        <v>532019</v>
      </c>
    </row>
    <row r="247" spans="1:5" x14ac:dyDescent="0.3">
      <c r="A247" t="s">
        <v>333</v>
      </c>
      <c r="B247">
        <v>2018</v>
      </c>
      <c r="C247">
        <v>54.94</v>
      </c>
      <c r="D247">
        <f>VLOOKUP(表1_[[#This Row],[地区]],Sheet2!A:B,2,0)</f>
        <v>530000</v>
      </c>
      <c r="E247">
        <f>表1_[[#This Row],[属性]]+表1_[[#This Row],[行政区域]]</f>
        <v>532018</v>
      </c>
    </row>
    <row r="248" spans="1:5" x14ac:dyDescent="0.3">
      <c r="A248" t="s">
        <v>333</v>
      </c>
      <c r="B248">
        <v>2017</v>
      </c>
      <c r="C248">
        <v>53.42</v>
      </c>
      <c r="D248">
        <f>VLOOKUP(表1_[[#This Row],[地区]],Sheet2!A:B,2,0)</f>
        <v>530000</v>
      </c>
      <c r="E248">
        <f>表1_[[#This Row],[属性]]+表1_[[#This Row],[行政区域]]</f>
        <v>532017</v>
      </c>
    </row>
    <row r="249" spans="1:5" x14ac:dyDescent="0.3">
      <c r="A249" t="s">
        <v>333</v>
      </c>
      <c r="B249">
        <v>2016</v>
      </c>
      <c r="C249">
        <v>46.86</v>
      </c>
      <c r="D249">
        <f>VLOOKUP(表1_[[#This Row],[地区]],Sheet2!A:B,2,0)</f>
        <v>530000</v>
      </c>
      <c r="E249">
        <f>表1_[[#This Row],[属性]]+表1_[[#This Row],[行政区域]]</f>
        <v>532016</v>
      </c>
    </row>
    <row r="250" spans="1:5" x14ac:dyDescent="0.3">
      <c r="A250" t="s">
        <v>333</v>
      </c>
      <c r="B250">
        <v>2015</v>
      </c>
      <c r="C250">
        <v>48.56</v>
      </c>
      <c r="D250">
        <f>VLOOKUP(表1_[[#This Row],[地区]],Sheet2!A:B,2,0)</f>
        <v>530000</v>
      </c>
      <c r="E250">
        <f>表1_[[#This Row],[属性]]+表1_[[#This Row],[行政区域]]</f>
        <v>532015</v>
      </c>
    </row>
    <row r="251" spans="1:5" x14ac:dyDescent="0.3">
      <c r="A251" t="s">
        <v>333</v>
      </c>
      <c r="B251">
        <v>2014</v>
      </c>
      <c r="C251">
        <v>43.15</v>
      </c>
      <c r="D251">
        <f>VLOOKUP(表1_[[#This Row],[地区]],Sheet2!A:B,2,0)</f>
        <v>530000</v>
      </c>
      <c r="E251">
        <f>表1_[[#This Row],[属性]]+表1_[[#This Row],[行政区域]]</f>
        <v>532014</v>
      </c>
    </row>
    <row r="252" spans="1:5" x14ac:dyDescent="0.3">
      <c r="A252" t="s">
        <v>334</v>
      </c>
      <c r="B252">
        <v>2023</v>
      </c>
      <c r="C252">
        <v>133.68</v>
      </c>
      <c r="D252">
        <f>VLOOKUP(表1_[[#This Row],[地区]],Sheet2!A:B,2,0)</f>
        <v>610000</v>
      </c>
      <c r="E252">
        <f>表1_[[#This Row],[属性]]+表1_[[#This Row],[行政区域]]</f>
        <v>612023</v>
      </c>
    </row>
    <row r="253" spans="1:5" x14ac:dyDescent="0.3">
      <c r="A253" t="s">
        <v>334</v>
      </c>
      <c r="B253">
        <v>2022</v>
      </c>
      <c r="C253">
        <v>109.78</v>
      </c>
      <c r="D253">
        <f>VLOOKUP(表1_[[#This Row],[地区]],Sheet2!A:B,2,0)</f>
        <v>610000</v>
      </c>
      <c r="E253">
        <f>表1_[[#This Row],[属性]]+表1_[[#This Row],[行政区域]]</f>
        <v>612022</v>
      </c>
    </row>
    <row r="254" spans="1:5" x14ac:dyDescent="0.3">
      <c r="A254" t="s">
        <v>334</v>
      </c>
      <c r="B254">
        <v>2021</v>
      </c>
      <c r="C254">
        <v>93</v>
      </c>
      <c r="D254">
        <f>VLOOKUP(表1_[[#This Row],[地区]],Sheet2!A:B,2,0)</f>
        <v>610000</v>
      </c>
      <c r="E254">
        <f>表1_[[#This Row],[属性]]+表1_[[#This Row],[行政区域]]</f>
        <v>612021</v>
      </c>
    </row>
    <row r="255" spans="1:5" x14ac:dyDescent="0.3">
      <c r="A255" t="s">
        <v>334</v>
      </c>
      <c r="B255">
        <v>2020</v>
      </c>
      <c r="C255">
        <v>56.45</v>
      </c>
      <c r="D255">
        <f>VLOOKUP(表1_[[#This Row],[地区]],Sheet2!A:B,2,0)</f>
        <v>610000</v>
      </c>
      <c r="E255">
        <f>表1_[[#This Row],[属性]]+表1_[[#This Row],[行政区域]]</f>
        <v>612020</v>
      </c>
    </row>
    <row r="256" spans="1:5" x14ac:dyDescent="0.3">
      <c r="A256" t="s">
        <v>334</v>
      </c>
      <c r="B256">
        <v>2019</v>
      </c>
      <c r="C256">
        <v>71.38</v>
      </c>
      <c r="D256">
        <f>VLOOKUP(表1_[[#This Row],[地区]],Sheet2!A:B,2,0)</f>
        <v>610000</v>
      </c>
      <c r="E256">
        <f>表1_[[#This Row],[属性]]+表1_[[#This Row],[行政区域]]</f>
        <v>612019</v>
      </c>
    </row>
    <row r="257" spans="1:5" x14ac:dyDescent="0.3">
      <c r="A257" t="s">
        <v>334</v>
      </c>
      <c r="B257">
        <v>2018</v>
      </c>
      <c r="C257">
        <v>87.22</v>
      </c>
      <c r="D257">
        <f>VLOOKUP(表1_[[#This Row],[地区]],Sheet2!A:B,2,0)</f>
        <v>610000</v>
      </c>
      <c r="E257">
        <f>表1_[[#This Row],[属性]]+表1_[[#This Row],[行政区域]]</f>
        <v>612018</v>
      </c>
    </row>
    <row r="258" spans="1:5" x14ac:dyDescent="0.3">
      <c r="A258" t="s">
        <v>334</v>
      </c>
      <c r="B258">
        <v>2017</v>
      </c>
      <c r="C258">
        <v>79.34</v>
      </c>
      <c r="D258">
        <f>VLOOKUP(表1_[[#This Row],[地区]],Sheet2!A:B,2,0)</f>
        <v>610000</v>
      </c>
      <c r="E258">
        <f>表1_[[#This Row],[属性]]+表1_[[#This Row],[行政区域]]</f>
        <v>612017</v>
      </c>
    </row>
    <row r="259" spans="1:5" x14ac:dyDescent="0.3">
      <c r="A259" t="s">
        <v>334</v>
      </c>
      <c r="B259">
        <v>2016</v>
      </c>
      <c r="C259">
        <v>62.01</v>
      </c>
      <c r="D259">
        <f>VLOOKUP(表1_[[#This Row],[地区]],Sheet2!A:B,2,0)</f>
        <v>610000</v>
      </c>
      <c r="E259">
        <f>表1_[[#This Row],[属性]]+表1_[[#This Row],[行政区域]]</f>
        <v>612016</v>
      </c>
    </row>
    <row r="260" spans="1:5" x14ac:dyDescent="0.3">
      <c r="A260" t="s">
        <v>334</v>
      </c>
      <c r="B260">
        <v>2015</v>
      </c>
      <c r="C260">
        <v>57.28</v>
      </c>
      <c r="D260">
        <f>VLOOKUP(表1_[[#This Row],[地区]],Sheet2!A:B,2,0)</f>
        <v>610000</v>
      </c>
      <c r="E260">
        <f>表1_[[#This Row],[属性]]+表1_[[#This Row],[行政区域]]</f>
        <v>612015</v>
      </c>
    </row>
    <row r="261" spans="1:5" x14ac:dyDescent="0.3">
      <c r="A261" t="s">
        <v>334</v>
      </c>
      <c r="B261">
        <v>2014</v>
      </c>
      <c r="C261">
        <v>44.86</v>
      </c>
      <c r="D261">
        <f>VLOOKUP(表1_[[#This Row],[地区]],Sheet2!A:B,2,0)</f>
        <v>610000</v>
      </c>
      <c r="E261">
        <f>表1_[[#This Row],[属性]]+表1_[[#This Row],[行政区域]]</f>
        <v>612014</v>
      </c>
    </row>
    <row r="262" spans="1:5" x14ac:dyDescent="0.3">
      <c r="A262" t="s">
        <v>335</v>
      </c>
      <c r="B262">
        <v>2023</v>
      </c>
      <c r="C262">
        <v>58.6</v>
      </c>
      <c r="D262">
        <f>VLOOKUP(表1_[[#This Row],[地区]],Sheet2!A:B,2,0)</f>
        <v>620000</v>
      </c>
      <c r="E262">
        <f>表1_[[#This Row],[属性]]+表1_[[#This Row],[行政区域]]</f>
        <v>622023</v>
      </c>
    </row>
    <row r="263" spans="1:5" x14ac:dyDescent="0.3">
      <c r="A263" t="s">
        <v>335</v>
      </c>
      <c r="B263">
        <v>2022</v>
      </c>
      <c r="C263">
        <v>47.69</v>
      </c>
      <c r="D263">
        <f>VLOOKUP(表1_[[#This Row],[地区]],Sheet2!A:B,2,0)</f>
        <v>620000</v>
      </c>
      <c r="E263">
        <f>表1_[[#This Row],[属性]]+表1_[[#This Row],[行政区域]]</f>
        <v>622022</v>
      </c>
    </row>
    <row r="264" spans="1:5" x14ac:dyDescent="0.3">
      <c r="A264" t="s">
        <v>335</v>
      </c>
      <c r="B264">
        <v>2021</v>
      </c>
      <c r="C264">
        <v>34.950000000000003</v>
      </c>
      <c r="D264">
        <f>VLOOKUP(表1_[[#This Row],[地区]],Sheet2!A:B,2,0)</f>
        <v>620000</v>
      </c>
      <c r="E264">
        <f>表1_[[#This Row],[属性]]+表1_[[#This Row],[行政区域]]</f>
        <v>622021</v>
      </c>
    </row>
    <row r="265" spans="1:5" x14ac:dyDescent="0.3">
      <c r="A265" t="s">
        <v>335</v>
      </c>
      <c r="B265">
        <v>2020</v>
      </c>
      <c r="C265">
        <v>32.07</v>
      </c>
      <c r="D265">
        <f>VLOOKUP(表1_[[#This Row],[地区]],Sheet2!A:B,2,0)</f>
        <v>620000</v>
      </c>
      <c r="E265">
        <f>表1_[[#This Row],[属性]]+表1_[[#This Row],[行政区域]]</f>
        <v>622020</v>
      </c>
    </row>
    <row r="266" spans="1:5" x14ac:dyDescent="0.3">
      <c r="A266" t="s">
        <v>335</v>
      </c>
      <c r="B266">
        <v>2019</v>
      </c>
      <c r="C266">
        <v>29.39</v>
      </c>
      <c r="D266">
        <f>VLOOKUP(表1_[[#This Row],[地区]],Sheet2!A:B,2,0)</f>
        <v>620000</v>
      </c>
      <c r="E266">
        <f>表1_[[#This Row],[属性]]+表1_[[#This Row],[行政区域]]</f>
        <v>622019</v>
      </c>
    </row>
    <row r="267" spans="1:5" x14ac:dyDescent="0.3">
      <c r="A267" t="s">
        <v>335</v>
      </c>
      <c r="B267">
        <v>2018</v>
      </c>
      <c r="C267">
        <v>25.74</v>
      </c>
      <c r="D267">
        <f>VLOOKUP(表1_[[#This Row],[地区]],Sheet2!A:B,2,0)</f>
        <v>620000</v>
      </c>
      <c r="E267">
        <f>表1_[[#This Row],[属性]]+表1_[[#This Row],[行政区域]]</f>
        <v>622018</v>
      </c>
    </row>
    <row r="268" spans="1:5" x14ac:dyDescent="0.3">
      <c r="A268" t="s">
        <v>335</v>
      </c>
      <c r="B268">
        <v>2017</v>
      </c>
      <c r="C268">
        <v>25.83</v>
      </c>
      <c r="D268">
        <f>VLOOKUP(表1_[[#This Row],[地区]],Sheet2!A:B,2,0)</f>
        <v>620000</v>
      </c>
      <c r="E268">
        <f>表1_[[#This Row],[属性]]+表1_[[#This Row],[行政区域]]</f>
        <v>622017</v>
      </c>
    </row>
    <row r="269" spans="1:5" x14ac:dyDescent="0.3">
      <c r="A269" t="s">
        <v>335</v>
      </c>
      <c r="B269">
        <v>2016</v>
      </c>
      <c r="C269">
        <v>26.23</v>
      </c>
      <c r="D269">
        <f>VLOOKUP(表1_[[#This Row],[地区]],Sheet2!A:B,2,0)</f>
        <v>620000</v>
      </c>
      <c r="E269">
        <f>表1_[[#This Row],[属性]]+表1_[[#This Row],[行政区域]]</f>
        <v>622016</v>
      </c>
    </row>
    <row r="270" spans="1:5" x14ac:dyDescent="0.3">
      <c r="A270" t="s">
        <v>335</v>
      </c>
      <c r="B270">
        <v>2015</v>
      </c>
      <c r="C270">
        <v>29.85</v>
      </c>
      <c r="D270">
        <f>VLOOKUP(表1_[[#This Row],[地区]],Sheet2!A:B,2,0)</f>
        <v>620000</v>
      </c>
      <c r="E270">
        <f>表1_[[#This Row],[属性]]+表1_[[#This Row],[行政区域]]</f>
        <v>622015</v>
      </c>
    </row>
    <row r="271" spans="1:5" x14ac:dyDescent="0.3">
      <c r="A271" t="s">
        <v>335</v>
      </c>
      <c r="B271">
        <v>2014</v>
      </c>
      <c r="C271">
        <v>21.16</v>
      </c>
      <c r="D271">
        <f>VLOOKUP(表1_[[#This Row],[地区]],Sheet2!A:B,2,0)</f>
        <v>620000</v>
      </c>
      <c r="E271">
        <f>表1_[[#This Row],[属性]]+表1_[[#This Row],[行政区域]]</f>
        <v>622014</v>
      </c>
    </row>
    <row r="272" spans="1:5" x14ac:dyDescent="0.3">
      <c r="A272" t="s">
        <v>336</v>
      </c>
      <c r="B272">
        <v>2023</v>
      </c>
      <c r="C272">
        <v>11.86</v>
      </c>
      <c r="D272">
        <f>VLOOKUP(表1_[[#This Row],[地区]],Sheet2!A:B,2,0)</f>
        <v>630000</v>
      </c>
      <c r="E272">
        <f>表1_[[#This Row],[属性]]+表1_[[#This Row],[行政区域]]</f>
        <v>632023</v>
      </c>
    </row>
    <row r="273" spans="1:5" x14ac:dyDescent="0.3">
      <c r="A273" t="s">
        <v>336</v>
      </c>
      <c r="B273">
        <v>2022</v>
      </c>
      <c r="C273">
        <v>9.4499999999999993</v>
      </c>
      <c r="D273">
        <f>VLOOKUP(表1_[[#This Row],[地区]],Sheet2!A:B,2,0)</f>
        <v>630000</v>
      </c>
      <c r="E273">
        <f>表1_[[#This Row],[属性]]+表1_[[#This Row],[行政区域]]</f>
        <v>632022</v>
      </c>
    </row>
    <row r="274" spans="1:5" x14ac:dyDescent="0.3">
      <c r="A274" t="s">
        <v>336</v>
      </c>
      <c r="B274">
        <v>2021</v>
      </c>
      <c r="C274">
        <v>12.19</v>
      </c>
      <c r="D274">
        <f>VLOOKUP(表1_[[#This Row],[地区]],Sheet2!A:B,2,0)</f>
        <v>630000</v>
      </c>
      <c r="E274">
        <f>表1_[[#This Row],[属性]]+表1_[[#This Row],[行政区域]]</f>
        <v>632021</v>
      </c>
    </row>
    <row r="275" spans="1:5" x14ac:dyDescent="0.3">
      <c r="A275" t="s">
        <v>336</v>
      </c>
      <c r="B275">
        <v>2020</v>
      </c>
      <c r="C275">
        <v>10.56</v>
      </c>
      <c r="D275">
        <f>VLOOKUP(表1_[[#This Row],[地区]],Sheet2!A:B,2,0)</f>
        <v>630000</v>
      </c>
      <c r="E275">
        <f>表1_[[#This Row],[属性]]+表1_[[#This Row],[行政区域]]</f>
        <v>632020</v>
      </c>
    </row>
    <row r="276" spans="1:5" x14ac:dyDescent="0.3">
      <c r="A276" t="s">
        <v>336</v>
      </c>
      <c r="B276">
        <v>2019</v>
      </c>
      <c r="C276">
        <v>10.37</v>
      </c>
      <c r="D276">
        <f>VLOOKUP(表1_[[#This Row],[地区]],Sheet2!A:B,2,0)</f>
        <v>630000</v>
      </c>
      <c r="E276">
        <f>表1_[[#This Row],[属性]]+表1_[[#This Row],[行政区域]]</f>
        <v>632019</v>
      </c>
    </row>
    <row r="277" spans="1:5" x14ac:dyDescent="0.3">
      <c r="A277" t="s">
        <v>336</v>
      </c>
      <c r="B277">
        <v>2018</v>
      </c>
      <c r="C277">
        <v>12.8</v>
      </c>
      <c r="D277">
        <f>VLOOKUP(表1_[[#This Row],[地区]],Sheet2!A:B,2,0)</f>
        <v>630000</v>
      </c>
      <c r="E277">
        <f>表1_[[#This Row],[属性]]+表1_[[#This Row],[行政区域]]</f>
        <v>632018</v>
      </c>
    </row>
    <row r="278" spans="1:5" x14ac:dyDescent="0.3">
      <c r="A278" t="s">
        <v>336</v>
      </c>
      <c r="B278">
        <v>2017</v>
      </c>
      <c r="C278">
        <v>11.94</v>
      </c>
      <c r="D278">
        <f>VLOOKUP(表1_[[#This Row],[地区]],Sheet2!A:B,2,0)</f>
        <v>630000</v>
      </c>
      <c r="E278">
        <f>表1_[[#This Row],[属性]]+表1_[[#This Row],[行政区域]]</f>
        <v>632017</v>
      </c>
    </row>
    <row r="279" spans="1:5" x14ac:dyDescent="0.3">
      <c r="A279" t="s">
        <v>336</v>
      </c>
      <c r="B279">
        <v>2016</v>
      </c>
      <c r="C279">
        <v>10.9</v>
      </c>
      <c r="D279">
        <f>VLOOKUP(表1_[[#This Row],[地区]],Sheet2!A:B,2,0)</f>
        <v>630000</v>
      </c>
      <c r="E279">
        <f>表1_[[#This Row],[属性]]+表1_[[#This Row],[行政区域]]</f>
        <v>632016</v>
      </c>
    </row>
    <row r="280" spans="1:5" x14ac:dyDescent="0.3">
      <c r="A280" t="s">
        <v>336</v>
      </c>
      <c r="B280">
        <v>2015</v>
      </c>
      <c r="C280">
        <v>11.22</v>
      </c>
      <c r="D280">
        <f>VLOOKUP(表1_[[#This Row],[地区]],Sheet2!A:B,2,0)</f>
        <v>630000</v>
      </c>
      <c r="E280">
        <f>表1_[[#This Row],[属性]]+表1_[[#This Row],[行政区域]]</f>
        <v>632015</v>
      </c>
    </row>
    <row r="281" spans="1:5" x14ac:dyDescent="0.3">
      <c r="A281" t="s">
        <v>336</v>
      </c>
      <c r="B281">
        <v>2014</v>
      </c>
      <c r="C281">
        <v>10.39</v>
      </c>
      <c r="D281">
        <f>VLOOKUP(表1_[[#This Row],[地区]],Sheet2!A:B,2,0)</f>
        <v>630000</v>
      </c>
      <c r="E281">
        <f>表1_[[#This Row],[属性]]+表1_[[#This Row],[行政区域]]</f>
        <v>632014</v>
      </c>
    </row>
    <row r="282" spans="1:5" x14ac:dyDescent="0.3">
      <c r="A282" t="s">
        <v>337</v>
      </c>
      <c r="B282">
        <v>2023</v>
      </c>
      <c r="C282">
        <v>28.06</v>
      </c>
      <c r="D282">
        <f>VLOOKUP(表1_[[#This Row],[地区]],Sheet2!A:B,2,0)</f>
        <v>640000</v>
      </c>
      <c r="E282">
        <f>表1_[[#This Row],[属性]]+表1_[[#This Row],[行政区域]]</f>
        <v>642023</v>
      </c>
    </row>
    <row r="283" spans="1:5" x14ac:dyDescent="0.3">
      <c r="A283" t="s">
        <v>337</v>
      </c>
      <c r="B283">
        <v>2022</v>
      </c>
      <c r="C283">
        <v>25.56</v>
      </c>
      <c r="D283">
        <f>VLOOKUP(表1_[[#This Row],[地区]],Sheet2!A:B,2,0)</f>
        <v>640000</v>
      </c>
      <c r="E283">
        <f>表1_[[#This Row],[属性]]+表1_[[#This Row],[行政区域]]</f>
        <v>642022</v>
      </c>
    </row>
    <row r="284" spans="1:5" x14ac:dyDescent="0.3">
      <c r="A284" t="s">
        <v>337</v>
      </c>
      <c r="B284">
        <v>2021</v>
      </c>
      <c r="C284">
        <v>29</v>
      </c>
      <c r="D284">
        <f>VLOOKUP(表1_[[#This Row],[地区]],Sheet2!A:B,2,0)</f>
        <v>640000</v>
      </c>
      <c r="E284">
        <f>表1_[[#This Row],[属性]]+表1_[[#This Row],[行政区域]]</f>
        <v>642021</v>
      </c>
    </row>
    <row r="285" spans="1:5" x14ac:dyDescent="0.3">
      <c r="A285" t="s">
        <v>337</v>
      </c>
      <c r="B285">
        <v>2020</v>
      </c>
      <c r="C285">
        <v>27.91</v>
      </c>
      <c r="D285">
        <f>VLOOKUP(表1_[[#This Row],[地区]],Sheet2!A:B,2,0)</f>
        <v>640000</v>
      </c>
      <c r="E285">
        <f>表1_[[#This Row],[属性]]+表1_[[#This Row],[行政区域]]</f>
        <v>642020</v>
      </c>
    </row>
    <row r="286" spans="1:5" x14ac:dyDescent="0.3">
      <c r="A286" t="s">
        <v>337</v>
      </c>
      <c r="B286">
        <v>2019</v>
      </c>
      <c r="C286">
        <v>31.26</v>
      </c>
      <c r="D286">
        <f>VLOOKUP(表1_[[#This Row],[地区]],Sheet2!A:B,2,0)</f>
        <v>640000</v>
      </c>
      <c r="E286">
        <f>表1_[[#This Row],[属性]]+表1_[[#This Row],[行政区域]]</f>
        <v>642019</v>
      </c>
    </row>
    <row r="287" spans="1:5" x14ac:dyDescent="0.3">
      <c r="A287" t="s">
        <v>337</v>
      </c>
      <c r="B287">
        <v>2018</v>
      </c>
      <c r="C287">
        <v>34.020000000000003</v>
      </c>
      <c r="D287">
        <f>VLOOKUP(表1_[[#This Row],[地区]],Sheet2!A:B,2,0)</f>
        <v>640000</v>
      </c>
      <c r="E287">
        <f>表1_[[#This Row],[属性]]+表1_[[#This Row],[行政区域]]</f>
        <v>642018</v>
      </c>
    </row>
    <row r="288" spans="1:5" x14ac:dyDescent="0.3">
      <c r="A288" t="s">
        <v>337</v>
      </c>
      <c r="B288">
        <v>2017</v>
      </c>
      <c r="C288">
        <v>25.55</v>
      </c>
      <c r="D288">
        <f>VLOOKUP(表1_[[#This Row],[地区]],Sheet2!A:B,2,0)</f>
        <v>640000</v>
      </c>
      <c r="E288">
        <f>表1_[[#This Row],[属性]]+表1_[[#This Row],[行政区域]]</f>
        <v>642017</v>
      </c>
    </row>
    <row r="289" spans="1:5" x14ac:dyDescent="0.3">
      <c r="A289" t="s">
        <v>337</v>
      </c>
      <c r="B289">
        <v>2016</v>
      </c>
      <c r="C289">
        <v>18.260000000000002</v>
      </c>
      <c r="D289">
        <f>VLOOKUP(表1_[[#This Row],[地区]],Sheet2!A:B,2,0)</f>
        <v>640000</v>
      </c>
      <c r="E289">
        <f>表1_[[#This Row],[属性]]+表1_[[#This Row],[行政区域]]</f>
        <v>642016</v>
      </c>
    </row>
    <row r="290" spans="1:5" x14ac:dyDescent="0.3">
      <c r="A290" t="s">
        <v>337</v>
      </c>
      <c r="B290">
        <v>2015</v>
      </c>
      <c r="C290">
        <v>17.25</v>
      </c>
      <c r="D290">
        <f>VLOOKUP(表1_[[#This Row],[地区]],Sheet2!A:B,2,0)</f>
        <v>640000</v>
      </c>
      <c r="E290">
        <f>表1_[[#This Row],[属性]]+表1_[[#This Row],[行政区域]]</f>
        <v>642015</v>
      </c>
    </row>
    <row r="291" spans="1:5" x14ac:dyDescent="0.3">
      <c r="A291" t="s">
        <v>337</v>
      </c>
      <c r="B291">
        <v>2014</v>
      </c>
      <c r="C291">
        <v>11.66</v>
      </c>
      <c r="D291">
        <f>VLOOKUP(表1_[[#This Row],[地区]],Sheet2!A:B,2,0)</f>
        <v>640000</v>
      </c>
      <c r="E291">
        <f>表1_[[#This Row],[属性]]+表1_[[#This Row],[行政区域]]</f>
        <v>642014</v>
      </c>
    </row>
    <row r="292" spans="1:5" x14ac:dyDescent="0.3">
      <c r="A292" t="s">
        <v>338</v>
      </c>
      <c r="B292">
        <v>2023</v>
      </c>
      <c r="C292">
        <v>64.27</v>
      </c>
      <c r="D292">
        <f>VLOOKUP(表1_[[#This Row],[地区]],Sheet2!A:B,2,0)</f>
        <v>650000</v>
      </c>
      <c r="E292">
        <f>表1_[[#This Row],[属性]]+表1_[[#This Row],[行政区域]]</f>
        <v>652023</v>
      </c>
    </row>
    <row r="293" spans="1:5" x14ac:dyDescent="0.3">
      <c r="A293" t="s">
        <v>338</v>
      </c>
      <c r="B293">
        <v>2022</v>
      </c>
      <c r="C293">
        <v>53.53</v>
      </c>
      <c r="D293">
        <f>VLOOKUP(表1_[[#This Row],[地区]],Sheet2!A:B,2,0)</f>
        <v>650000</v>
      </c>
      <c r="E293">
        <f>表1_[[#This Row],[属性]]+表1_[[#This Row],[行政区域]]</f>
        <v>652022</v>
      </c>
    </row>
    <row r="294" spans="1:5" x14ac:dyDescent="0.3">
      <c r="A294" t="s">
        <v>338</v>
      </c>
      <c r="B294">
        <v>2021</v>
      </c>
      <c r="C294">
        <v>42.86</v>
      </c>
      <c r="D294">
        <f>VLOOKUP(表1_[[#This Row],[地区]],Sheet2!A:B,2,0)</f>
        <v>650000</v>
      </c>
      <c r="E294">
        <f>表1_[[#This Row],[属性]]+表1_[[#This Row],[行政区域]]</f>
        <v>652021</v>
      </c>
    </row>
    <row r="295" spans="1:5" x14ac:dyDescent="0.3">
      <c r="A295" t="s">
        <v>338</v>
      </c>
      <c r="B295">
        <v>2020</v>
      </c>
      <c r="C295">
        <v>41.25</v>
      </c>
      <c r="D295">
        <f>VLOOKUP(表1_[[#This Row],[地区]],Sheet2!A:B,2,0)</f>
        <v>650000</v>
      </c>
      <c r="E295">
        <f>表1_[[#This Row],[属性]]+表1_[[#This Row],[行政区域]]</f>
        <v>652020</v>
      </c>
    </row>
    <row r="296" spans="1:5" x14ac:dyDescent="0.3">
      <c r="A296" t="s">
        <v>338</v>
      </c>
      <c r="B296">
        <v>2019</v>
      </c>
      <c r="C296">
        <v>40.81</v>
      </c>
      <c r="D296">
        <f>VLOOKUP(表1_[[#This Row],[地区]],Sheet2!A:B,2,0)</f>
        <v>650000</v>
      </c>
      <c r="E296">
        <f>表1_[[#This Row],[属性]]+表1_[[#This Row],[行政区域]]</f>
        <v>652019</v>
      </c>
    </row>
    <row r="297" spans="1:5" x14ac:dyDescent="0.3">
      <c r="A297" t="s">
        <v>338</v>
      </c>
      <c r="B297">
        <v>2018</v>
      </c>
      <c r="C297">
        <v>42.25</v>
      </c>
      <c r="D297">
        <f>VLOOKUP(表1_[[#This Row],[地区]],Sheet2!A:B,2,0)</f>
        <v>650000</v>
      </c>
      <c r="E297">
        <f>表1_[[#This Row],[属性]]+表1_[[#This Row],[行政区域]]</f>
        <v>652018</v>
      </c>
    </row>
    <row r="298" spans="1:5" x14ac:dyDescent="0.3">
      <c r="A298" t="s">
        <v>338</v>
      </c>
      <c r="B298">
        <v>2017</v>
      </c>
      <c r="C298">
        <v>42.81</v>
      </c>
      <c r="D298">
        <f>VLOOKUP(表1_[[#This Row],[地区]],Sheet2!A:B,2,0)</f>
        <v>650000</v>
      </c>
      <c r="E298">
        <f>表1_[[#This Row],[属性]]+表1_[[#This Row],[行政区域]]</f>
        <v>652017</v>
      </c>
    </row>
    <row r="299" spans="1:5" x14ac:dyDescent="0.3">
      <c r="A299" t="s">
        <v>338</v>
      </c>
      <c r="B299">
        <v>2016</v>
      </c>
      <c r="C299">
        <v>44.98</v>
      </c>
      <c r="D299">
        <f>VLOOKUP(表1_[[#This Row],[地区]],Sheet2!A:B,2,0)</f>
        <v>650000</v>
      </c>
      <c r="E299">
        <f>表1_[[#This Row],[属性]]+表1_[[#This Row],[行政区域]]</f>
        <v>652016</v>
      </c>
    </row>
    <row r="300" spans="1:5" x14ac:dyDescent="0.3">
      <c r="A300" t="s">
        <v>338</v>
      </c>
      <c r="B300">
        <v>2015</v>
      </c>
      <c r="C300">
        <v>41.64</v>
      </c>
      <c r="D300">
        <f>VLOOKUP(表1_[[#This Row],[地区]],Sheet2!A:B,2,0)</f>
        <v>650000</v>
      </c>
      <c r="E300">
        <f>表1_[[#This Row],[属性]]+表1_[[#This Row],[行政区域]]</f>
        <v>652015</v>
      </c>
    </row>
    <row r="301" spans="1:5" x14ac:dyDescent="0.3">
      <c r="A301" t="s">
        <v>338</v>
      </c>
      <c r="B301">
        <v>2014</v>
      </c>
      <c r="C301">
        <v>40.340000000000003</v>
      </c>
      <c r="D301">
        <f>VLOOKUP(表1_[[#This Row],[地区]],Sheet2!A:B,2,0)</f>
        <v>650000</v>
      </c>
      <c r="E301">
        <f>表1_[[#This Row],[属性]]+表1_[[#This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1279-5132-4050-A521-33FA8124D365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343</v>
      </c>
      <c r="B1" s="5" t="s">
        <v>344</v>
      </c>
    </row>
    <row r="2" spans="1:2" x14ac:dyDescent="0.3">
      <c r="A2" s="5" t="s">
        <v>309</v>
      </c>
      <c r="B2" s="5">
        <v>110000</v>
      </c>
    </row>
    <row r="3" spans="1:2" x14ac:dyDescent="0.3">
      <c r="A3" s="5" t="s">
        <v>310</v>
      </c>
      <c r="B3" s="5">
        <v>120000</v>
      </c>
    </row>
    <row r="4" spans="1:2" x14ac:dyDescent="0.3">
      <c r="A4" s="5" t="s">
        <v>311</v>
      </c>
      <c r="B4" s="5">
        <v>130000</v>
      </c>
    </row>
    <row r="5" spans="1:2" x14ac:dyDescent="0.3">
      <c r="A5" s="5" t="s">
        <v>312</v>
      </c>
      <c r="B5" s="5">
        <v>140000</v>
      </c>
    </row>
    <row r="6" spans="1:2" x14ac:dyDescent="0.3">
      <c r="A6" s="5" t="s">
        <v>313</v>
      </c>
      <c r="B6" s="5">
        <v>150000</v>
      </c>
    </row>
    <row r="7" spans="1:2" x14ac:dyDescent="0.3">
      <c r="A7" s="5" t="s">
        <v>314</v>
      </c>
      <c r="B7" s="5">
        <v>210000</v>
      </c>
    </row>
    <row r="8" spans="1:2" x14ac:dyDescent="0.3">
      <c r="A8" s="5" t="s">
        <v>315</v>
      </c>
      <c r="B8" s="5">
        <v>220000</v>
      </c>
    </row>
    <row r="9" spans="1:2" x14ac:dyDescent="0.3">
      <c r="A9" s="5" t="s">
        <v>316</v>
      </c>
      <c r="B9" s="5">
        <v>230000</v>
      </c>
    </row>
    <row r="10" spans="1:2" x14ac:dyDescent="0.3">
      <c r="A10" s="5" t="s">
        <v>317</v>
      </c>
      <c r="B10" s="5">
        <v>310000</v>
      </c>
    </row>
    <row r="11" spans="1:2" x14ac:dyDescent="0.3">
      <c r="A11" s="5" t="s">
        <v>318</v>
      </c>
      <c r="B11" s="5">
        <v>320000</v>
      </c>
    </row>
    <row r="12" spans="1:2" x14ac:dyDescent="0.3">
      <c r="A12" s="5" t="s">
        <v>319</v>
      </c>
      <c r="B12" s="5">
        <v>330000</v>
      </c>
    </row>
    <row r="13" spans="1:2" x14ac:dyDescent="0.3">
      <c r="A13" s="5" t="s">
        <v>320</v>
      </c>
      <c r="B13" s="5">
        <v>340000</v>
      </c>
    </row>
    <row r="14" spans="1:2" x14ac:dyDescent="0.3">
      <c r="A14" s="5" t="s">
        <v>321</v>
      </c>
      <c r="B14" s="5">
        <v>350000</v>
      </c>
    </row>
    <row r="15" spans="1:2" x14ac:dyDescent="0.3">
      <c r="A15" s="5" t="s">
        <v>322</v>
      </c>
      <c r="B15" s="5">
        <v>360000</v>
      </c>
    </row>
    <row r="16" spans="1:2" x14ac:dyDescent="0.3">
      <c r="A16" s="5" t="s">
        <v>323</v>
      </c>
      <c r="B16" s="5">
        <v>370000</v>
      </c>
    </row>
    <row r="17" spans="1:2" x14ac:dyDescent="0.3">
      <c r="A17" s="5" t="s">
        <v>324</v>
      </c>
      <c r="B17" s="5">
        <v>410000</v>
      </c>
    </row>
    <row r="18" spans="1:2" x14ac:dyDescent="0.3">
      <c r="A18" s="5" t="s">
        <v>325</v>
      </c>
      <c r="B18" s="5">
        <v>420000</v>
      </c>
    </row>
    <row r="19" spans="1:2" x14ac:dyDescent="0.3">
      <c r="A19" s="5" t="s">
        <v>326</v>
      </c>
      <c r="B19" s="5">
        <v>430000</v>
      </c>
    </row>
    <row r="20" spans="1:2" x14ac:dyDescent="0.3">
      <c r="A20" s="5" t="s">
        <v>327</v>
      </c>
      <c r="B20" s="5">
        <v>440000</v>
      </c>
    </row>
    <row r="21" spans="1:2" x14ac:dyDescent="0.3">
      <c r="A21" s="5" t="s">
        <v>328</v>
      </c>
      <c r="B21" s="5">
        <v>450000</v>
      </c>
    </row>
    <row r="22" spans="1:2" x14ac:dyDescent="0.3">
      <c r="A22" s="5" t="s">
        <v>329</v>
      </c>
      <c r="B22" s="5">
        <v>460000</v>
      </c>
    </row>
    <row r="23" spans="1:2" x14ac:dyDescent="0.3">
      <c r="A23" s="5" t="s">
        <v>330</v>
      </c>
      <c r="B23" s="5">
        <v>500000</v>
      </c>
    </row>
    <row r="24" spans="1:2" x14ac:dyDescent="0.3">
      <c r="A24" s="5" t="s">
        <v>331</v>
      </c>
      <c r="B24" s="5">
        <v>510000</v>
      </c>
    </row>
    <row r="25" spans="1:2" x14ac:dyDescent="0.3">
      <c r="A25" s="5" t="s">
        <v>332</v>
      </c>
      <c r="B25" s="5">
        <v>520000</v>
      </c>
    </row>
    <row r="26" spans="1:2" x14ac:dyDescent="0.3">
      <c r="A26" s="5" t="s">
        <v>333</v>
      </c>
      <c r="B26" s="5">
        <v>530000</v>
      </c>
    </row>
    <row r="27" spans="1:2" x14ac:dyDescent="0.3">
      <c r="A27" s="5" t="s">
        <v>334</v>
      </c>
      <c r="B27" s="5">
        <v>610000</v>
      </c>
    </row>
    <row r="28" spans="1:2" x14ac:dyDescent="0.3">
      <c r="A28" s="5" t="s">
        <v>335</v>
      </c>
      <c r="B28" s="5">
        <v>620000</v>
      </c>
    </row>
    <row r="29" spans="1:2" x14ac:dyDescent="0.3">
      <c r="A29" s="5" t="s">
        <v>336</v>
      </c>
      <c r="B29" s="5">
        <v>630000</v>
      </c>
    </row>
    <row r="30" spans="1:2" x14ac:dyDescent="0.3">
      <c r="A30" s="5" t="s">
        <v>337</v>
      </c>
      <c r="B30" s="5">
        <v>640000</v>
      </c>
    </row>
    <row r="31" spans="1:2" x14ac:dyDescent="0.3">
      <c r="A31" s="5" t="s">
        <v>338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Normal="10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339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311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312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313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54</v>
      </c>
      <c r="J6" s="3" t="s">
        <v>58</v>
      </c>
      <c r="K6" s="3" t="s">
        <v>59</v>
      </c>
    </row>
    <row r="7" spans="1:11" ht="20.55" customHeight="1" x14ac:dyDescent="0.3">
      <c r="A7" s="2" t="s">
        <v>314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</row>
    <row r="8" spans="1:11" ht="20.55" customHeight="1" x14ac:dyDescent="0.3">
      <c r="A8" s="2" t="s">
        <v>315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</row>
    <row r="9" spans="1:11" ht="20.55" customHeight="1" x14ac:dyDescent="0.3">
      <c r="A9" s="2" t="s">
        <v>316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</row>
    <row r="10" spans="1:11" ht="20.55" customHeight="1" x14ac:dyDescent="0.3">
      <c r="A10" s="2" t="s">
        <v>317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</row>
    <row r="11" spans="1:11" ht="20.55" customHeight="1" x14ac:dyDescent="0.3">
      <c r="A11" s="2" t="s">
        <v>318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</row>
    <row r="12" spans="1:11" ht="20.55" customHeight="1" x14ac:dyDescent="0.3">
      <c r="A12" s="2" t="s">
        <v>319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114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119</v>
      </c>
    </row>
    <row r="13" spans="1:11" ht="20.55" customHeight="1" x14ac:dyDescent="0.3">
      <c r="A13" s="2" t="s">
        <v>320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</row>
    <row r="14" spans="1:11" ht="20.55" customHeight="1" x14ac:dyDescent="0.3">
      <c r="A14" s="2" t="s">
        <v>321</v>
      </c>
      <c r="B14" s="3" t="s">
        <v>130</v>
      </c>
      <c r="C14" s="3" t="s">
        <v>131</v>
      </c>
      <c r="D14" s="3" t="s">
        <v>132</v>
      </c>
      <c r="E14" s="3" t="s">
        <v>133</v>
      </c>
      <c r="F14" s="3" t="s">
        <v>134</v>
      </c>
      <c r="G14" s="3" t="s">
        <v>135</v>
      </c>
      <c r="H14" s="3" t="s">
        <v>136</v>
      </c>
      <c r="I14" s="3" t="s">
        <v>137</v>
      </c>
      <c r="J14" s="3" t="s">
        <v>138</v>
      </c>
      <c r="K14" s="3" t="s">
        <v>139</v>
      </c>
    </row>
    <row r="15" spans="1:11" ht="20.55" customHeight="1" x14ac:dyDescent="0.3">
      <c r="A15" s="2" t="s">
        <v>322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</row>
    <row r="16" spans="1:11" ht="20.55" customHeight="1" x14ac:dyDescent="0.3">
      <c r="A16" s="2" t="s">
        <v>323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</row>
    <row r="17" spans="1:11" ht="20.55" customHeight="1" x14ac:dyDescent="0.3">
      <c r="A17" s="2" t="s">
        <v>324</v>
      </c>
      <c r="B17" s="3" t="s">
        <v>160</v>
      </c>
      <c r="C17" s="3" t="s">
        <v>161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</row>
    <row r="18" spans="1:11" ht="20.55" customHeight="1" x14ac:dyDescent="0.3">
      <c r="A18" s="2" t="s">
        <v>325</v>
      </c>
      <c r="B18" s="3" t="s">
        <v>170</v>
      </c>
      <c r="C18" s="3" t="s">
        <v>171</v>
      </c>
      <c r="D18" s="3" t="s">
        <v>172</v>
      </c>
      <c r="E18" s="3" t="s">
        <v>173</v>
      </c>
      <c r="F18" s="3" t="s">
        <v>174</v>
      </c>
      <c r="G18" s="3" t="s">
        <v>175</v>
      </c>
      <c r="H18" s="3" t="s">
        <v>176</v>
      </c>
      <c r="I18" s="3" t="s">
        <v>177</v>
      </c>
      <c r="J18" s="3" t="s">
        <v>178</v>
      </c>
      <c r="K18" s="3" t="s">
        <v>179</v>
      </c>
    </row>
    <row r="19" spans="1:11" ht="20.55" customHeight="1" x14ac:dyDescent="0.3">
      <c r="A19" s="2" t="s">
        <v>326</v>
      </c>
      <c r="B19" s="3" t="s">
        <v>180</v>
      </c>
      <c r="C19" s="3" t="s">
        <v>181</v>
      </c>
      <c r="D19" s="3" t="s">
        <v>182</v>
      </c>
      <c r="E19" s="3" t="s">
        <v>183</v>
      </c>
      <c r="F19" s="3" t="s">
        <v>184</v>
      </c>
      <c r="G19" s="3" t="s">
        <v>185</v>
      </c>
      <c r="H19" s="3" t="s">
        <v>186</v>
      </c>
      <c r="I19" s="3" t="s">
        <v>187</v>
      </c>
      <c r="J19" s="3" t="s">
        <v>188</v>
      </c>
      <c r="K19" s="3" t="s">
        <v>189</v>
      </c>
    </row>
    <row r="20" spans="1:11" ht="20.55" customHeight="1" x14ac:dyDescent="0.3">
      <c r="A20" s="2" t="s">
        <v>327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</row>
    <row r="21" spans="1:11" ht="20.55" customHeight="1" x14ac:dyDescent="0.3">
      <c r="A21" s="2" t="s">
        <v>328</v>
      </c>
      <c r="B21" s="3" t="s">
        <v>200</v>
      </c>
      <c r="C21" s="3" t="s">
        <v>201</v>
      </c>
      <c r="D21" s="3" t="s">
        <v>202</v>
      </c>
      <c r="E21" s="3" t="s">
        <v>188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</row>
    <row r="22" spans="1:11" ht="20.55" customHeight="1" x14ac:dyDescent="0.3">
      <c r="A22" s="2" t="s">
        <v>329</v>
      </c>
      <c r="B22" s="3" t="s">
        <v>210</v>
      </c>
      <c r="C22" s="3" t="s">
        <v>211</v>
      </c>
      <c r="D22" s="3" t="s">
        <v>212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218</v>
      </c>
      <c r="K22" s="3" t="s">
        <v>219</v>
      </c>
    </row>
    <row r="23" spans="1:11" ht="20.55" customHeight="1" x14ac:dyDescent="0.3">
      <c r="A23" s="2" t="s">
        <v>330</v>
      </c>
      <c r="B23" s="3" t="s">
        <v>220</v>
      </c>
      <c r="C23" s="3" t="s">
        <v>221</v>
      </c>
      <c r="D23" s="3" t="s">
        <v>222</v>
      </c>
      <c r="E23" s="3" t="s">
        <v>223</v>
      </c>
      <c r="F23" s="3" t="s">
        <v>224</v>
      </c>
      <c r="G23" s="3" t="s">
        <v>225</v>
      </c>
      <c r="H23" s="3" t="s">
        <v>226</v>
      </c>
      <c r="I23" s="3" t="s">
        <v>227</v>
      </c>
      <c r="J23" s="3" t="s">
        <v>228</v>
      </c>
      <c r="K23" s="3" t="s">
        <v>229</v>
      </c>
    </row>
    <row r="24" spans="1:11" ht="20.55" customHeight="1" x14ac:dyDescent="0.3">
      <c r="A24" s="2" t="s">
        <v>331</v>
      </c>
      <c r="B24" s="3" t="s">
        <v>230</v>
      </c>
      <c r="C24" s="3" t="s">
        <v>231</v>
      </c>
      <c r="D24" s="3" t="s">
        <v>232</v>
      </c>
      <c r="E24" s="3" t="s">
        <v>233</v>
      </c>
      <c r="F24" s="3" t="s">
        <v>234</v>
      </c>
      <c r="G24" s="3" t="s">
        <v>235</v>
      </c>
      <c r="H24" s="3" t="s">
        <v>236</v>
      </c>
      <c r="I24" s="3" t="s">
        <v>237</v>
      </c>
      <c r="J24" s="3" t="s">
        <v>238</v>
      </c>
      <c r="K24" s="3" t="s">
        <v>239</v>
      </c>
    </row>
    <row r="25" spans="1:11" ht="20.55" customHeight="1" x14ac:dyDescent="0.3">
      <c r="A25" s="2" t="s">
        <v>332</v>
      </c>
      <c r="B25" s="3" t="s">
        <v>240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245</v>
      </c>
      <c r="H25" s="3" t="s">
        <v>246</v>
      </c>
      <c r="I25" s="3" t="s">
        <v>247</v>
      </c>
      <c r="J25" s="3" t="s">
        <v>248</v>
      </c>
      <c r="K25" s="3" t="s">
        <v>249</v>
      </c>
    </row>
    <row r="26" spans="1:11" ht="20.55" customHeight="1" x14ac:dyDescent="0.3">
      <c r="A26" s="2" t="s">
        <v>333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 t="s">
        <v>259</v>
      </c>
    </row>
    <row r="27" spans="1:11" ht="20.55" customHeight="1" x14ac:dyDescent="0.3">
      <c r="A27" s="2" t="s">
        <v>334</v>
      </c>
      <c r="B27" s="3" t="s">
        <v>260</v>
      </c>
      <c r="C27" s="3" t="s">
        <v>261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266</v>
      </c>
      <c r="I27" s="3" t="s">
        <v>267</v>
      </c>
      <c r="J27" s="3" t="s">
        <v>268</v>
      </c>
      <c r="K27" s="3" t="s">
        <v>269</v>
      </c>
    </row>
    <row r="28" spans="1:11" ht="20.55" customHeight="1" x14ac:dyDescent="0.3">
      <c r="A28" s="2" t="s">
        <v>335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277</v>
      </c>
      <c r="J28" s="3" t="s">
        <v>278</v>
      </c>
      <c r="K28" s="3" t="s">
        <v>279</v>
      </c>
    </row>
    <row r="29" spans="1:11" ht="20.55" customHeight="1" x14ac:dyDescent="0.3">
      <c r="A29" s="2" t="s">
        <v>336</v>
      </c>
      <c r="B29" s="3" t="s">
        <v>280</v>
      </c>
      <c r="C29" s="3" t="s">
        <v>281</v>
      </c>
      <c r="D29" s="3" t="s">
        <v>282</v>
      </c>
      <c r="E29" s="3" t="s">
        <v>283</v>
      </c>
      <c r="F29" s="3" t="s">
        <v>284</v>
      </c>
      <c r="G29" s="3" t="s">
        <v>285</v>
      </c>
      <c r="H29" s="3" t="s">
        <v>286</v>
      </c>
      <c r="I29" s="3" t="s">
        <v>287</v>
      </c>
      <c r="J29" s="3" t="s">
        <v>288</v>
      </c>
      <c r="K29" s="3" t="s">
        <v>289</v>
      </c>
    </row>
    <row r="30" spans="1:11" ht="20.55" customHeight="1" x14ac:dyDescent="0.3">
      <c r="A30" s="2" t="s">
        <v>337</v>
      </c>
      <c r="B30" s="3" t="s">
        <v>290</v>
      </c>
      <c r="C30" s="3" t="s">
        <v>291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338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209</v>
      </c>
      <c r="I31" s="3" t="s">
        <v>306</v>
      </c>
      <c r="J31" s="3" t="s">
        <v>307</v>
      </c>
      <c r="K31" s="3" t="s">
        <v>308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758F7-49F8-4B57-ADB5-E9D4A8699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2026-04-12T14:10:02Z</dcterms:created>
  <dcterms:modified xsi:type="dcterms:W3CDTF">2026-04-14T09:02:44Z</dcterms:modified>
  <cp:category/>
</cp:coreProperties>
</file>
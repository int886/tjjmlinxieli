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CA278AE-09CA-4AD8-8ED3-35CADEFB0E80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6F1C4-7D7F-455D-9FAD-7D23A7D31AA4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<sst xmlns="http://schemas.openxmlformats.org/spreadsheetml/2006/main" count="699" uniqueCount="358">
  <si>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</si>
  <si>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</si>
  <si>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</si>
  <si>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</si>
  <si>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</si>
  <si>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</si>
  <si>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</si>
  <si>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</si>
  <si>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</si>
  <si>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</si>
  <si>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</si>
  <si>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7971.25</t>
  </si>
  <si>
    <t>7469.15</t>
  </si>
  <si>
    <t>7205.12</t>
  </si>
  <si>
    <t>7116.18</t>
  </si>
  <si>
    <t>7408.19</t>
  </si>
  <si>
    <t>7471.43</t>
  </si>
  <si>
    <t>6824.53</t>
  </si>
  <si>
    <t>6406.77</t>
  </si>
  <si>
    <t>5737.70</t>
  </si>
  <si>
    <t>4524.67</t>
  </si>
  <si>
    <t>3280.42</t>
  </si>
  <si>
    <t>2729.83</t>
  </si>
  <si>
    <t>3152.55</t>
  </si>
  <si>
    <t>3151.35</t>
  </si>
  <si>
    <t>3555.71</t>
  </si>
  <si>
    <t>3103.16</t>
  </si>
  <si>
    <t>3282.54</t>
  </si>
  <si>
    <t>3699.43</t>
  </si>
  <si>
    <t>3232.35</t>
  </si>
  <si>
    <t>2884.70</t>
  </si>
  <si>
    <t>9606.21</t>
  </si>
  <si>
    <t>9305.64</t>
  </si>
  <si>
    <t>8848.21</t>
  </si>
  <si>
    <t>9022.79</t>
  </si>
  <si>
    <t>8309.04</t>
  </si>
  <si>
    <t>7726.21</t>
  </si>
  <si>
    <t>6639.18</t>
  </si>
  <si>
    <t>6049.53</t>
  </si>
  <si>
    <t>5632.19</t>
  </si>
  <si>
    <t>4677.30</t>
  </si>
  <si>
    <t>6345.61</t>
  </si>
  <si>
    <t>5876.50</t>
  </si>
  <si>
    <t>5046.62</t>
  </si>
  <si>
    <t>5110.87</t>
  </si>
  <si>
    <t>4710.76</t>
  </si>
  <si>
    <t>4283.91</t>
  </si>
  <si>
    <t>3756.42</t>
  </si>
  <si>
    <t>3428.86</t>
  </si>
  <si>
    <t>3422.97</t>
  </si>
  <si>
    <t>3085.28</t>
  </si>
  <si>
    <t>6836.24</t>
  </si>
  <si>
    <t>5887.70</t>
  </si>
  <si>
    <t>5239.57</t>
  </si>
  <si>
    <t>5270.16</t>
  </si>
  <si>
    <t>5100.91</t>
  </si>
  <si>
    <t>4831.46</t>
  </si>
  <si>
    <t>4529.93</t>
  </si>
  <si>
    <t>4512.71</t>
  </si>
  <si>
    <t>4252.96</t>
  </si>
  <si>
    <t>3879.98</t>
  </si>
  <si>
    <t>6574.78</t>
  </si>
  <si>
    <t>6261.43</t>
  </si>
  <si>
    <t>5879.21</t>
  </si>
  <si>
    <t>6014.17</t>
  </si>
  <si>
    <t>5745.09</t>
  </si>
  <si>
    <t>5337.72</t>
  </si>
  <si>
    <t>4879.42</t>
  </si>
  <si>
    <t>4577.47</t>
  </si>
  <si>
    <t>4481.61</t>
  </si>
  <si>
    <t>5080.49</t>
  </si>
  <si>
    <t>4406.85</t>
  </si>
  <si>
    <t>4044.01</t>
  </si>
  <si>
    <t>3696.84</t>
  </si>
  <si>
    <t>4127.17</t>
  </si>
  <si>
    <t>3933.42</t>
  </si>
  <si>
    <t>3789.59</t>
  </si>
  <si>
    <t>3725.72</t>
  </si>
  <si>
    <t>3586.09</t>
  </si>
  <si>
    <t>3217.10</t>
  </si>
  <si>
    <t>2913.25</t>
  </si>
  <si>
    <t>5776.44</t>
  </si>
  <si>
    <t>5451.99</t>
  </si>
  <si>
    <t>5104.81</t>
  </si>
  <si>
    <t>5449.41</t>
  </si>
  <si>
    <t>5011.56</t>
  </si>
  <si>
    <t>4676.75</t>
  </si>
  <si>
    <t>4641.08</t>
  </si>
  <si>
    <t>4227.34</t>
  </si>
  <si>
    <t>4020.66</t>
  </si>
  <si>
    <t>3434.22</t>
  </si>
  <si>
    <t>9638.51</t>
  </si>
  <si>
    <t>9393.00</t>
  </si>
  <si>
    <t>8430.86</t>
  </si>
  <si>
    <t>8102.11</t>
  </si>
  <si>
    <t>8179.28</t>
  </si>
  <si>
    <t>8351.54</t>
  </si>
  <si>
    <t>7547.62</t>
  </si>
  <si>
    <t>6918.94</t>
  </si>
  <si>
    <t>6191.56</t>
  </si>
  <si>
    <t>4923.44</t>
  </si>
  <si>
    <t>15242.28</t>
  </si>
  <si>
    <t>14901.37</t>
  </si>
  <si>
    <t>14585.26</t>
  </si>
  <si>
    <t>13681.55</t>
  </si>
  <si>
    <t>12573.55</t>
  </si>
  <si>
    <t>11657.35</t>
  </si>
  <si>
    <t>10621.03</t>
  </si>
  <si>
    <t>9981.96</t>
  </si>
  <si>
    <t>9687.58</t>
  </si>
  <si>
    <t>8472.45</t>
  </si>
  <si>
    <t>12353.09</t>
  </si>
  <si>
    <t>12017.78</t>
  </si>
  <si>
    <t>11014.59</t>
  </si>
  <si>
    <t>10082.01</t>
  </si>
  <si>
    <t>10053.03</t>
  </si>
  <si>
    <t>8629.53</t>
  </si>
  <si>
    <t>7530.32</t>
  </si>
  <si>
    <t>6974.26</t>
  </si>
  <si>
    <t>6645.98</t>
  </si>
  <si>
    <t>5159.57</t>
  </si>
  <si>
    <t>8643.57</t>
  </si>
  <si>
    <t>8379.78</t>
  </si>
  <si>
    <t>7591.05</t>
  </si>
  <si>
    <t>7473.59</t>
  </si>
  <si>
    <t>7392.22</t>
  </si>
  <si>
    <t>6572.15</t>
  </si>
  <si>
    <t>6203.81</t>
  </si>
  <si>
    <t>5522.95</t>
  </si>
  <si>
    <t>5239.01</t>
  </si>
  <si>
    <t>4664.10</t>
  </si>
  <si>
    <t>5859.39</t>
  </si>
  <si>
    <t>5691.22</t>
  </si>
  <si>
    <t>5204.72</t>
  </si>
  <si>
    <t>5216.10</t>
  </si>
  <si>
    <t>5077.93</t>
  </si>
  <si>
    <t>4832.69</t>
  </si>
  <si>
    <t>4684.15</t>
  </si>
  <si>
    <t>4275.40</t>
  </si>
  <si>
    <t>4001.58</t>
  </si>
  <si>
    <t>3306.70</t>
  </si>
  <si>
    <t>7492.88</t>
  </si>
  <si>
    <t>7289.07</t>
  </si>
  <si>
    <t>6778.87</t>
  </si>
  <si>
    <t>6674.08</t>
  </si>
  <si>
    <t>6386.80</t>
  </si>
  <si>
    <t>5667.52</t>
  </si>
  <si>
    <t>5111.47</t>
  </si>
  <si>
    <t>4617.40</t>
  </si>
  <si>
    <t>4412.55</t>
  </si>
  <si>
    <t>3882.70</t>
  </si>
  <si>
    <t>12581.74</t>
  </si>
  <si>
    <t>12128.63</t>
  </si>
  <si>
    <t>11713.16</t>
  </si>
  <si>
    <t>11233.52</t>
  </si>
  <si>
    <t>10739.76</t>
  </si>
  <si>
    <t>10100.96</t>
  </si>
  <si>
    <t>9258.40</t>
  </si>
  <si>
    <t>8755.21</t>
  </si>
  <si>
    <t>8250.01</t>
  </si>
  <si>
    <t>7177.31</t>
  </si>
  <si>
    <t>11052.54</t>
  </si>
  <si>
    <t>10646.75</t>
  </si>
  <si>
    <t>9784.29</t>
  </si>
  <si>
    <t>10372.67</t>
  </si>
  <si>
    <t>10163.93</t>
  </si>
  <si>
    <t>9217.73</t>
  </si>
  <si>
    <t>8215.52</t>
  </si>
  <si>
    <t>7453.74</t>
  </si>
  <si>
    <t>6799.35</t>
  </si>
  <si>
    <t>6028.69</t>
  </si>
  <si>
    <t>9299.07</t>
  </si>
  <si>
    <t>8623.87</t>
  </si>
  <si>
    <t>7933.67</t>
  </si>
  <si>
    <t>8442.88</t>
  </si>
  <si>
    <t>7970.21</t>
  </si>
  <si>
    <t>7258.27</t>
  </si>
  <si>
    <t>6801.26</t>
  </si>
  <si>
    <t>6422.98</t>
  </si>
  <si>
    <t>6132.84</t>
  </si>
  <si>
    <t>4934.15</t>
  </si>
  <si>
    <t>9581.12</t>
  </si>
  <si>
    <t>8991.61</t>
  </si>
  <si>
    <t>8325.50</t>
  </si>
  <si>
    <t>8403.13</t>
  </si>
  <si>
    <t>8034.42</t>
  </si>
  <si>
    <t>7479.61</t>
  </si>
  <si>
    <t>6869.39</t>
  </si>
  <si>
    <t>6339.16</t>
  </si>
  <si>
    <t>5728.72</t>
  </si>
  <si>
    <t>5017.38</t>
  </si>
  <si>
    <t>18527.03</t>
  </si>
  <si>
    <t>18533.08</t>
  </si>
  <si>
    <t>18247.01</t>
  </si>
  <si>
    <t>17430.79</t>
  </si>
  <si>
    <t>17297.85</t>
  </si>
  <si>
    <t>15729.26</t>
  </si>
  <si>
    <t>15037.48</t>
  </si>
  <si>
    <t>13446.09</t>
  </si>
  <si>
    <t>12827.80</t>
  </si>
  <si>
    <t>9152.64</t>
  </si>
  <si>
    <t>6101.37</t>
  </si>
  <si>
    <t>5893.32</t>
  </si>
  <si>
    <t>5806.54</t>
  </si>
  <si>
    <t>6179.47</t>
  </si>
  <si>
    <t>5850.96</t>
  </si>
  <si>
    <t>5310.74</t>
  </si>
  <si>
    <t>4908.55</t>
  </si>
  <si>
    <t>4441.70</t>
  </si>
  <si>
    <t>4065.51</t>
  </si>
  <si>
    <t>3479.79</t>
  </si>
  <si>
    <t>2248.96</t>
  </si>
  <si>
    <t>2097.37</t>
  </si>
  <si>
    <t>1971.37</t>
  </si>
  <si>
    <t>1972.46</t>
  </si>
  <si>
    <t>1858.60</t>
  </si>
  <si>
    <t>1691.30</t>
  </si>
  <si>
    <t>1443.97</t>
  </si>
  <si>
    <t>1376.48</t>
  </si>
  <si>
    <t>1239.43</t>
  </si>
  <si>
    <t>1099.74</t>
  </si>
  <si>
    <t>5304.56</t>
  </si>
  <si>
    <t>4892.77</t>
  </si>
  <si>
    <t>4835.06</t>
  </si>
  <si>
    <t>4893.95</t>
  </si>
  <si>
    <t>4847.68</t>
  </si>
  <si>
    <t>4540.95</t>
  </si>
  <si>
    <t>4336.28</t>
  </si>
  <si>
    <t>4001.81</t>
  </si>
  <si>
    <t>3792.00</t>
  </si>
  <si>
    <t>3304.39</t>
  </si>
  <si>
    <t>12732.79</t>
  </si>
  <si>
    <t>11914.66</t>
  </si>
  <si>
    <t>11215.69</t>
  </si>
  <si>
    <t>11198.54</t>
  </si>
  <si>
    <t>10348.17</t>
  </si>
  <si>
    <t>9707.50</t>
  </si>
  <si>
    <t>8694.76</t>
  </si>
  <si>
    <t>8008.89</t>
  </si>
  <si>
    <t>7497.51</t>
  </si>
  <si>
    <t>6796.61</t>
  </si>
  <si>
    <t>6203.70</t>
  </si>
  <si>
    <t>5851.36</t>
  </si>
  <si>
    <t>5590.01</t>
  </si>
  <si>
    <t>5739.50</t>
  </si>
  <si>
    <t>5948.74</t>
  </si>
  <si>
    <t>5029.68</t>
  </si>
  <si>
    <t>4612.52</t>
  </si>
  <si>
    <t>4262.36</t>
  </si>
  <si>
    <t>3939.50</t>
  </si>
  <si>
    <t>3542.80</t>
  </si>
  <si>
    <t>6730.08</t>
  </si>
  <si>
    <t>6699.79</t>
  </si>
  <si>
    <t>6634.36</t>
  </si>
  <si>
    <t>6974.02</t>
  </si>
  <si>
    <t>6770.09</t>
  </si>
  <si>
    <t>6075.03</t>
  </si>
  <si>
    <t>5712.97</t>
  </si>
  <si>
    <t>5018.86</t>
  </si>
  <si>
    <t>4712.83</t>
  </si>
  <si>
    <t>4437.98</t>
  </si>
  <si>
    <t>2809.02</t>
  </si>
  <si>
    <t>2592.98</t>
  </si>
  <si>
    <t>2027.01</t>
  </si>
  <si>
    <t>2210.92</t>
  </si>
  <si>
    <t>2187.75</t>
  </si>
  <si>
    <t>1970.68</t>
  </si>
  <si>
    <t>1681.94</t>
  </si>
  <si>
    <t>1587.98</t>
  </si>
  <si>
    <t>1381.46</t>
  </si>
  <si>
    <t>1185.51</t>
  </si>
  <si>
    <t>7175.08</t>
  </si>
  <si>
    <t>6760.98</t>
  </si>
  <si>
    <t>6069.22</t>
  </si>
  <si>
    <t>5930.32</t>
  </si>
  <si>
    <t>5718.52</t>
  </si>
  <si>
    <t>5302.44</t>
  </si>
  <si>
    <t>4833.19</t>
  </si>
  <si>
    <t>4389.37</t>
  </si>
  <si>
    <t>4376.06</t>
  </si>
  <si>
    <t>3962.50</t>
  </si>
  <si>
    <t>4521.82</t>
  </si>
  <si>
    <t>4257.16</t>
  </si>
  <si>
    <t>4032.56</t>
  </si>
  <si>
    <t>4163.40</t>
  </si>
  <si>
    <t>3951.60</t>
  </si>
  <si>
    <t>3772.23</t>
  </si>
  <si>
    <t>3304.44</t>
  </si>
  <si>
    <t>3150.03</t>
  </si>
  <si>
    <t>2958.31</t>
  </si>
  <si>
    <t>2541.49</t>
  </si>
  <si>
    <t>2188.72</t>
  </si>
  <si>
    <t>1975.10</t>
  </si>
  <si>
    <t>1854.52</t>
  </si>
  <si>
    <t>1932.84</t>
  </si>
  <si>
    <t>1863.67</t>
  </si>
  <si>
    <t>1647.43</t>
  </si>
  <si>
    <t>1530.44</t>
  </si>
  <si>
    <t>1524.80</t>
  </si>
  <si>
    <t>1515.16</t>
  </si>
  <si>
    <t>1347.43</t>
  </si>
  <si>
    <t>1751.38</t>
  </si>
  <si>
    <t>1587.85</t>
  </si>
  <si>
    <t>1427.89</t>
  </si>
  <si>
    <t>1480.36</t>
  </si>
  <si>
    <t>1438.29</t>
  </si>
  <si>
    <t>1419.06</t>
  </si>
  <si>
    <t>1372.78</t>
  </si>
  <si>
    <t>1254.54</t>
  </si>
  <si>
    <t>1138.49</t>
  </si>
  <si>
    <t>1000.45</t>
  </si>
  <si>
    <t>7566.98</t>
  </si>
  <si>
    <t>6835.40</t>
  </si>
  <si>
    <t>5376.91</t>
  </si>
  <si>
    <t>5533.16</t>
  </si>
  <si>
    <t>5315.49</t>
  </si>
  <si>
    <t>5012.45</t>
  </si>
  <si>
    <t>4637.24</t>
  </si>
  <si>
    <t>4138.25</t>
  </si>
  <si>
    <t>3804.87</t>
  </si>
  <si>
    <t>3317.79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</si>
  <si>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</si>
  <si>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</si>
  <si>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</si>
  <si>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</si>
  <si>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</si>
  <si>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</si>
  <si>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</si>
  <si>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</si>
  <si>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</si>
  <si>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</si>
  <si>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</si>
  <si>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</si>
  <si>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</si>
  <si>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</si>
  <si>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</si>
  <si>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</si>
  <si>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</si>
  <si>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</si>
  <si>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</si>
  <si>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</si>
  <si>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</si>
  <si>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</si>
  <si>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</si>
  <si>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</si>
  <si>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</si>
  <si>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</si>
  <si>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</si>
  <si>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</si>
  <si>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</si>
  <si>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</si>
  <si>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</si>
  <si>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地方财政一般公共预算支出</t>
    <phoneticPr fontId="2" type="noConversion"/>
  </si>
  <si>
    <t>行政区划</t>
    <phoneticPr fontId="2" type="noConversion"/>
  </si>
  <si>
    <t>id</t>
    <phoneticPr fontId="2" type="noConversion"/>
  </si>
  <si>
    <t>年份</t>
    <phoneticPr fontId="2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</si>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</sst>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A13166-EFD2-480E-A729-D52B9F5F927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7F598A-377A-40EC-8470-91EAAA61E589}" name="表1_" displayName="表1_" ref="A1:E311" tableType="queryTable" totalsRowShown="0">
  <autoFilter ref="A1:E311" xr:uid="{107F598A-377A-40EC-8470-91EAAA61E589}"/>
  <tableColumns count="5">
    <tableColumn id="1" xr3:uid="{17F5F156-7EBC-4A78-86AB-704A759D7249}" uniqueName="1" name="地区" queryTableFieldId="1"/>
    <tableColumn id="2" xr3:uid="{FE5D5A70-47B2-455F-BDC6-74BF1FD5D716}" uniqueName="2" name="年份" queryTableFieldId="2"/>
    <tableColumn id="3" xr3:uid="{55916F5F-334F-43B8-94AA-43CA81FF26A0}" uniqueName="3" name="地方财政一般公共预算支出" queryTableFieldId="3"/>
    <tableColumn id="4" xr3:uid="{0ACA94F3-3DBD-46FB-9A58-64C8E1A5937B}" uniqueName="4" name="行政区划" queryTableFieldId="4" dataDxfId="1">
      <calculatedColumnFormula>VLOOKUP(表1_[[#This Row],[地区]],Sheet2!A:B,2,0)</calculatedColumnFormula>
    </tableColumn>
    <tableColumn id="5" xr3:uid="{FC3F6565-C11E-4D36-AA6C-4F8F0CCE0B02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2DA66-E24D-498A-8430-72F5CC1193E8}" name="表1" displayName="表1" ref="A1:K32" totalsRowShown="0" headerRowDxfId="2" dataDxfId="3">
  <autoFilter ref="A1:K32" xr:uid="{67F2DA66-E24D-498A-8430-72F5CC1193E8}"/>
  <tableColumns count="11">
    <tableColumn id="1" xr3:uid="{CC4F2705-A1B2-4FD7-B4C2-902341CA0E3C}" name="地区" dataDxfId="14"/>
    <tableColumn id="2" xr3:uid="{1A2C38D9-7644-4889-9D42-4F3340E0C3BE}" name="2023年" dataDxfId="13"/>
    <tableColumn id="3" xr3:uid="{97AFEEB1-73D5-4175-9581-BAEB1C8D8514}" name="2022年" dataDxfId="12"/>
    <tableColumn id="4" xr3:uid="{43B22F5F-F2CB-4705-95CC-A3571BEAECF1}" name="2021年" dataDxfId="11"/>
    <tableColumn id="5" xr3:uid="{73A2E935-C9EB-48A4-8E59-2AB6DF2133B1}" name="2020年" dataDxfId="10"/>
    <tableColumn id="6" xr3:uid="{AF8317BB-AAA5-459A-800C-B9B9F0A15B37}" name="2019年" dataDxfId="9"/>
    <tableColumn id="7" xr3:uid="{1B34BE66-45BA-4D64-A553-B1340B043272}" name="2018年" dataDxfId="8"/>
    <tableColumn id="8" xr3:uid="{19877518-D8BE-4BF7-A5BB-221CFE47FA01}" name="2017年" dataDxfId="7"/>
    <tableColumn id="9" xr3:uid="{B50CE5C6-9D39-44CC-BFB5-D7AC98E5A672}" name="2016年" dataDxfId="6"/>
    <tableColumn id="10" xr3:uid="{FB63A599-879E-4C1F-938D-1C5DDD1CE009}" name="2015年" dataDxfId="5"/>
    <tableColumn id="11" xr3:uid="{B7741BF3-F3E4-4734-8F5B-637F6225169B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F360-5DF1-41F5-818C-F286132CFAB1}">
  <dimension ref="A1:E311"/>
  <sheetViews>
    <sheetView tabSelected="1" workbookViewId="0">
      <selection activeCell="G18" sqref="G18"/>
    </sheetView>
  </sheetViews>
  <sheetFormatPr defaultRowHeight="13.5" x14ac:dyDescent="0.3"/>
  <cols>
    <col min="1" max="2" width="7.265625" bestFit="1" customWidth="1"/>
    <col min="3" max="3" width="28.53125" customWidth="1"/>
  </cols>
  <sheetData>
    <row r="1" spans="1:5" x14ac:dyDescent="0.3">
      <c r="A1" t="s">
        <v>0</v>
      </c>
      <c r="B1" t="s">
        <v>355</v>
      </c>
      <c r="C1" t="s">
        <v>352</v>
      </c>
      <c r="D1" t="s">
        <v>353</v>
      </c>
      <c r="E1" t="s">
        <v>354</v>
      </c>
    </row>
    <row r="2" spans="1:5" x14ac:dyDescent="0.3">
      <c r="A2" t="s">
        <v>321</v>
      </c>
      <c r="B2">
        <v>2023</v>
      </c>
      <c r="C2">
        <v>7971.25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321</v>
      </c>
      <c r="B3">
        <v>2022</v>
      </c>
      <c r="C3">
        <v>7469.15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321</v>
      </c>
      <c r="B4">
        <v>2021</v>
      </c>
      <c r="C4">
        <v>7205.12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321</v>
      </c>
      <c r="B5">
        <v>2020</v>
      </c>
      <c r="C5">
        <v>7116.18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321</v>
      </c>
      <c r="B6">
        <v>2019</v>
      </c>
      <c r="C6">
        <v>7408.19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321</v>
      </c>
      <c r="B7">
        <v>2018</v>
      </c>
      <c r="C7">
        <v>7471.43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321</v>
      </c>
      <c r="B8">
        <v>2017</v>
      </c>
      <c r="C8">
        <v>6824.53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321</v>
      </c>
      <c r="B9">
        <v>2016</v>
      </c>
      <c r="C9">
        <v>6406.77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321</v>
      </c>
      <c r="B10">
        <v>2015</v>
      </c>
      <c r="C10">
        <v>5737.7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321</v>
      </c>
      <c r="B11">
        <v>2014</v>
      </c>
      <c r="C11">
        <v>4524.67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322</v>
      </c>
      <c r="B12">
        <v>2023</v>
      </c>
      <c r="C12">
        <v>3280.42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322</v>
      </c>
      <c r="B13">
        <v>2022</v>
      </c>
      <c r="C13">
        <v>2729.83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322</v>
      </c>
      <c r="B14">
        <v>2021</v>
      </c>
      <c r="C14">
        <v>3152.55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322</v>
      </c>
      <c r="B15">
        <v>2020</v>
      </c>
      <c r="C15">
        <v>3151.35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322</v>
      </c>
      <c r="B16">
        <v>2019</v>
      </c>
      <c r="C16">
        <v>3555.71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322</v>
      </c>
      <c r="B17">
        <v>2018</v>
      </c>
      <c r="C17">
        <v>3103.16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322</v>
      </c>
      <c r="B18">
        <v>2017</v>
      </c>
      <c r="C18">
        <v>3282.54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322</v>
      </c>
      <c r="B19">
        <v>2016</v>
      </c>
      <c r="C19">
        <v>3699.43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322</v>
      </c>
      <c r="B20">
        <v>2015</v>
      </c>
      <c r="C20">
        <v>3232.35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322</v>
      </c>
      <c r="B21">
        <v>2014</v>
      </c>
      <c r="C21">
        <v>2884.7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323</v>
      </c>
      <c r="B22">
        <v>2023</v>
      </c>
      <c r="C22">
        <v>9606.2099999999991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323</v>
      </c>
      <c r="B23">
        <v>2022</v>
      </c>
      <c r="C23">
        <v>9305.64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323</v>
      </c>
      <c r="B24">
        <v>2021</v>
      </c>
      <c r="C24">
        <v>8848.2099999999991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323</v>
      </c>
      <c r="B25">
        <v>2020</v>
      </c>
      <c r="C25">
        <v>9022.7900000000009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323</v>
      </c>
      <c r="B26">
        <v>2019</v>
      </c>
      <c r="C26">
        <v>8309.0400000000009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323</v>
      </c>
      <c r="B27">
        <v>2018</v>
      </c>
      <c r="C27">
        <v>7726.21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323</v>
      </c>
      <c r="B28">
        <v>2017</v>
      </c>
      <c r="C28">
        <v>6639.18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323</v>
      </c>
      <c r="B29">
        <v>2016</v>
      </c>
      <c r="C29">
        <v>6049.53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323</v>
      </c>
      <c r="B30">
        <v>2015</v>
      </c>
      <c r="C30">
        <v>5632.19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323</v>
      </c>
      <c r="B31">
        <v>2014</v>
      </c>
      <c r="C31">
        <v>4677.3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324</v>
      </c>
      <c r="B32">
        <v>2023</v>
      </c>
      <c r="C32">
        <v>6345.61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324</v>
      </c>
      <c r="B33">
        <v>2022</v>
      </c>
      <c r="C33">
        <v>5876.5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324</v>
      </c>
      <c r="B34">
        <v>2021</v>
      </c>
      <c r="C34">
        <v>5046.62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324</v>
      </c>
      <c r="B35">
        <v>2020</v>
      </c>
      <c r="C35">
        <v>5110.87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324</v>
      </c>
      <c r="B36">
        <v>2019</v>
      </c>
      <c r="C36">
        <v>4710.76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324</v>
      </c>
      <c r="B37">
        <v>2018</v>
      </c>
      <c r="C37">
        <v>4283.91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324</v>
      </c>
      <c r="B38">
        <v>2017</v>
      </c>
      <c r="C38">
        <v>3756.42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324</v>
      </c>
      <c r="B39">
        <v>2016</v>
      </c>
      <c r="C39">
        <v>3428.86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324</v>
      </c>
      <c r="B40">
        <v>2015</v>
      </c>
      <c r="C40">
        <v>3422.97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324</v>
      </c>
      <c r="B41">
        <v>2014</v>
      </c>
      <c r="C41">
        <v>3085.28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325</v>
      </c>
      <c r="B42">
        <v>2023</v>
      </c>
      <c r="C42">
        <v>6836.24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325</v>
      </c>
      <c r="B43">
        <v>2022</v>
      </c>
      <c r="C43">
        <v>5887.7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325</v>
      </c>
      <c r="B44">
        <v>2021</v>
      </c>
      <c r="C44">
        <v>5239.57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325</v>
      </c>
      <c r="B45">
        <v>2020</v>
      </c>
      <c r="C45">
        <v>5270.16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325</v>
      </c>
      <c r="B46">
        <v>2019</v>
      </c>
      <c r="C46">
        <v>5100.91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325</v>
      </c>
      <c r="B47">
        <v>2018</v>
      </c>
      <c r="C47">
        <v>4831.46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325</v>
      </c>
      <c r="B48">
        <v>2017</v>
      </c>
      <c r="C48">
        <v>4529.93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325</v>
      </c>
      <c r="B49">
        <v>2016</v>
      </c>
      <c r="C49">
        <v>4512.71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325</v>
      </c>
      <c r="B50">
        <v>2015</v>
      </c>
      <c r="C50">
        <v>4252.96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325</v>
      </c>
      <c r="B51">
        <v>2014</v>
      </c>
      <c r="C51">
        <v>3879.98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326</v>
      </c>
      <c r="B52">
        <v>2023</v>
      </c>
      <c r="C52">
        <v>6574.78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326</v>
      </c>
      <c r="B53">
        <v>2022</v>
      </c>
      <c r="C53">
        <v>6261.43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326</v>
      </c>
      <c r="B54">
        <v>2021</v>
      </c>
      <c r="C54">
        <v>5879.21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326</v>
      </c>
      <c r="B55">
        <v>2020</v>
      </c>
      <c r="C55">
        <v>6014.17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326</v>
      </c>
      <c r="B56">
        <v>2019</v>
      </c>
      <c r="C56">
        <v>5745.09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326</v>
      </c>
      <c r="B57">
        <v>2018</v>
      </c>
      <c r="C57">
        <v>5337.72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326</v>
      </c>
      <c r="B58">
        <v>2017</v>
      </c>
      <c r="C58">
        <v>4879.42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326</v>
      </c>
      <c r="B59">
        <v>2016</v>
      </c>
      <c r="C59">
        <v>4577.47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326</v>
      </c>
      <c r="B60">
        <v>2015</v>
      </c>
      <c r="C60">
        <v>4481.6099999999997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326</v>
      </c>
      <c r="B61">
        <v>2014</v>
      </c>
      <c r="C61">
        <v>5080.49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327</v>
      </c>
      <c r="B62">
        <v>2023</v>
      </c>
      <c r="C62">
        <v>4406.8500000000004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327</v>
      </c>
      <c r="B63">
        <v>2022</v>
      </c>
      <c r="C63">
        <v>4044.01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327</v>
      </c>
      <c r="B64">
        <v>2021</v>
      </c>
      <c r="C64">
        <v>3696.84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327</v>
      </c>
      <c r="B65">
        <v>2020</v>
      </c>
      <c r="C65">
        <v>4127.17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327</v>
      </c>
      <c r="B66">
        <v>2019</v>
      </c>
      <c r="C66">
        <v>3933.42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327</v>
      </c>
      <c r="B67">
        <v>2018</v>
      </c>
      <c r="C67">
        <v>3789.59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327</v>
      </c>
      <c r="B68">
        <v>2017</v>
      </c>
      <c r="C68">
        <v>3725.72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327</v>
      </c>
      <c r="B69">
        <v>2016</v>
      </c>
      <c r="C69">
        <v>3586.09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327</v>
      </c>
      <c r="B70">
        <v>2015</v>
      </c>
      <c r="C70">
        <v>3217.1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327</v>
      </c>
      <c r="B71">
        <v>2014</v>
      </c>
      <c r="C71">
        <v>2913.25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328</v>
      </c>
      <c r="B72">
        <v>2023</v>
      </c>
      <c r="C72">
        <v>5776.44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328</v>
      </c>
      <c r="B73">
        <v>2022</v>
      </c>
      <c r="C73">
        <v>5451.99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328</v>
      </c>
      <c r="B74">
        <v>2021</v>
      </c>
      <c r="C74">
        <v>5104.8100000000004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328</v>
      </c>
      <c r="B75">
        <v>2020</v>
      </c>
      <c r="C75">
        <v>5449.41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328</v>
      </c>
      <c r="B76">
        <v>2019</v>
      </c>
      <c r="C76">
        <v>5011.5600000000004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328</v>
      </c>
      <c r="B77">
        <v>2018</v>
      </c>
      <c r="C77">
        <v>4676.75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328</v>
      </c>
      <c r="B78">
        <v>2017</v>
      </c>
      <c r="C78">
        <v>4641.08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328</v>
      </c>
      <c r="B79">
        <v>2016</v>
      </c>
      <c r="C79">
        <v>4227.34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328</v>
      </c>
      <c r="B80">
        <v>2015</v>
      </c>
      <c r="C80">
        <v>4020.66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328</v>
      </c>
      <c r="B81">
        <v>2014</v>
      </c>
      <c r="C81">
        <v>3434.22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329</v>
      </c>
      <c r="B82">
        <v>2023</v>
      </c>
      <c r="C82">
        <v>9638.51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329</v>
      </c>
      <c r="B83">
        <v>2022</v>
      </c>
      <c r="C83">
        <v>9393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329</v>
      </c>
      <c r="B84">
        <v>2021</v>
      </c>
      <c r="C84">
        <v>8430.86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329</v>
      </c>
      <c r="B85">
        <v>2020</v>
      </c>
      <c r="C85">
        <v>8102.11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329</v>
      </c>
      <c r="B86">
        <v>2019</v>
      </c>
      <c r="C86">
        <v>8179.28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329</v>
      </c>
      <c r="B87">
        <v>2018</v>
      </c>
      <c r="C87">
        <v>8351.5400000000009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329</v>
      </c>
      <c r="B88">
        <v>2017</v>
      </c>
      <c r="C88">
        <v>7547.62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329</v>
      </c>
      <c r="B89">
        <v>2016</v>
      </c>
      <c r="C89">
        <v>6918.94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329</v>
      </c>
      <c r="B90">
        <v>2015</v>
      </c>
      <c r="C90">
        <v>6191.56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329</v>
      </c>
      <c r="B91">
        <v>2014</v>
      </c>
      <c r="C91">
        <v>4923.4399999999996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330</v>
      </c>
      <c r="B92">
        <v>2023</v>
      </c>
      <c r="C92">
        <v>15242.28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330</v>
      </c>
      <c r="B93">
        <v>2022</v>
      </c>
      <c r="C93">
        <v>14901.37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330</v>
      </c>
      <c r="B94">
        <v>2021</v>
      </c>
      <c r="C94">
        <v>14585.26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330</v>
      </c>
      <c r="B95">
        <v>2020</v>
      </c>
      <c r="C95">
        <v>13681.55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330</v>
      </c>
      <c r="B96">
        <v>2019</v>
      </c>
      <c r="C96">
        <v>12573.55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330</v>
      </c>
      <c r="B97">
        <v>2018</v>
      </c>
      <c r="C97">
        <v>11657.35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330</v>
      </c>
      <c r="B98">
        <v>2017</v>
      </c>
      <c r="C98">
        <v>10621.03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330</v>
      </c>
      <c r="B99">
        <v>2016</v>
      </c>
      <c r="C99">
        <v>9981.9599999999991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330</v>
      </c>
      <c r="B100">
        <v>2015</v>
      </c>
      <c r="C100">
        <v>9687.58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330</v>
      </c>
      <c r="B101">
        <v>2014</v>
      </c>
      <c r="C101">
        <v>8472.4500000000007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331</v>
      </c>
      <c r="B102">
        <v>2023</v>
      </c>
      <c r="C102">
        <v>12353.09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331</v>
      </c>
      <c r="B103">
        <v>2022</v>
      </c>
      <c r="C103">
        <v>12017.78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331</v>
      </c>
      <c r="B104">
        <v>2021</v>
      </c>
      <c r="C104">
        <v>11014.59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331</v>
      </c>
      <c r="B105">
        <v>2020</v>
      </c>
      <c r="C105">
        <v>10082.01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331</v>
      </c>
      <c r="B106">
        <v>2019</v>
      </c>
      <c r="C106">
        <v>10053.030000000001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331</v>
      </c>
      <c r="B107">
        <v>2018</v>
      </c>
      <c r="C107">
        <v>8629.5300000000007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331</v>
      </c>
      <c r="B108">
        <v>2017</v>
      </c>
      <c r="C108">
        <v>7530.32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331</v>
      </c>
      <c r="B109">
        <v>2016</v>
      </c>
      <c r="C109">
        <v>6974.26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331</v>
      </c>
      <c r="B110">
        <v>2015</v>
      </c>
      <c r="C110">
        <v>6645.98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331</v>
      </c>
      <c r="B111">
        <v>2014</v>
      </c>
      <c r="C111">
        <v>5159.57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332</v>
      </c>
      <c r="B112">
        <v>2023</v>
      </c>
      <c r="C112">
        <v>8643.57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332</v>
      </c>
      <c r="B113">
        <v>2022</v>
      </c>
      <c r="C113">
        <v>8379.7800000000007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332</v>
      </c>
      <c r="B114">
        <v>2021</v>
      </c>
      <c r="C114">
        <v>7591.05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332</v>
      </c>
      <c r="B115">
        <v>2020</v>
      </c>
      <c r="C115">
        <v>7473.59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332</v>
      </c>
      <c r="B116">
        <v>2019</v>
      </c>
      <c r="C116">
        <v>7392.22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332</v>
      </c>
      <c r="B117">
        <v>2018</v>
      </c>
      <c r="C117">
        <v>6572.15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332</v>
      </c>
      <c r="B118">
        <v>2017</v>
      </c>
      <c r="C118">
        <v>6203.81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332</v>
      </c>
      <c r="B119">
        <v>2016</v>
      </c>
      <c r="C119">
        <v>5522.95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332</v>
      </c>
      <c r="B120">
        <v>2015</v>
      </c>
      <c r="C120">
        <v>5239.01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332</v>
      </c>
      <c r="B121">
        <v>2014</v>
      </c>
      <c r="C121">
        <v>4664.1000000000004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333</v>
      </c>
      <c r="B122">
        <v>2023</v>
      </c>
      <c r="C122">
        <v>5859.39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333</v>
      </c>
      <c r="B123">
        <v>2022</v>
      </c>
      <c r="C123">
        <v>5691.22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333</v>
      </c>
      <c r="B124">
        <v>2021</v>
      </c>
      <c r="C124">
        <v>5204.72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333</v>
      </c>
      <c r="B125">
        <v>2020</v>
      </c>
      <c r="C125">
        <v>5216.1000000000004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333</v>
      </c>
      <c r="B126">
        <v>2019</v>
      </c>
      <c r="C126">
        <v>5077.93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333</v>
      </c>
      <c r="B127">
        <v>2018</v>
      </c>
      <c r="C127">
        <v>4832.6899999999996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333</v>
      </c>
      <c r="B128">
        <v>2017</v>
      </c>
      <c r="C128">
        <v>4684.1499999999996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333</v>
      </c>
      <c r="B129">
        <v>2016</v>
      </c>
      <c r="C129">
        <v>4275.3999999999996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333</v>
      </c>
      <c r="B130">
        <v>2015</v>
      </c>
      <c r="C130">
        <v>4001.58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333</v>
      </c>
      <c r="B131">
        <v>2014</v>
      </c>
      <c r="C131">
        <v>3306.7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334</v>
      </c>
      <c r="B132">
        <v>2023</v>
      </c>
      <c r="C132">
        <v>7492.88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334</v>
      </c>
      <c r="B133">
        <v>2022</v>
      </c>
      <c r="C133">
        <v>7289.07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334</v>
      </c>
      <c r="B134">
        <v>2021</v>
      </c>
      <c r="C134">
        <v>6778.87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334</v>
      </c>
      <c r="B135">
        <v>2020</v>
      </c>
      <c r="C135">
        <v>6674.08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334</v>
      </c>
      <c r="B136">
        <v>2019</v>
      </c>
      <c r="C136">
        <v>6386.8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334</v>
      </c>
      <c r="B137">
        <v>2018</v>
      </c>
      <c r="C137">
        <v>5667.52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334</v>
      </c>
      <c r="B138">
        <v>2017</v>
      </c>
      <c r="C138">
        <v>5111.47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334</v>
      </c>
      <c r="B139">
        <v>2016</v>
      </c>
      <c r="C139">
        <v>4617.3999999999996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334</v>
      </c>
      <c r="B140">
        <v>2015</v>
      </c>
      <c r="C140">
        <v>4412.55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334</v>
      </c>
      <c r="B141">
        <v>2014</v>
      </c>
      <c r="C141">
        <v>3882.7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335</v>
      </c>
      <c r="B142">
        <v>2023</v>
      </c>
      <c r="C142">
        <v>12581.74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335</v>
      </c>
      <c r="B143">
        <v>2022</v>
      </c>
      <c r="C143">
        <v>12128.63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335</v>
      </c>
      <c r="B144">
        <v>2021</v>
      </c>
      <c r="C144">
        <v>11713.16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335</v>
      </c>
      <c r="B145">
        <v>2020</v>
      </c>
      <c r="C145">
        <v>11233.52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335</v>
      </c>
      <c r="B146">
        <v>2019</v>
      </c>
      <c r="C146">
        <v>10739.76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335</v>
      </c>
      <c r="B147">
        <v>2018</v>
      </c>
      <c r="C147">
        <v>10100.959999999999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335</v>
      </c>
      <c r="B148">
        <v>2017</v>
      </c>
      <c r="C148">
        <v>9258.4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335</v>
      </c>
      <c r="B149">
        <v>2016</v>
      </c>
      <c r="C149">
        <v>8755.2099999999991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335</v>
      </c>
      <c r="B150">
        <v>2015</v>
      </c>
      <c r="C150">
        <v>8250.01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335</v>
      </c>
      <c r="B151">
        <v>2014</v>
      </c>
      <c r="C151">
        <v>7177.31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336</v>
      </c>
      <c r="B152">
        <v>2023</v>
      </c>
      <c r="C152">
        <v>11052.54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336</v>
      </c>
      <c r="B153">
        <v>2022</v>
      </c>
      <c r="C153">
        <v>10646.75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336</v>
      </c>
      <c r="B154">
        <v>2021</v>
      </c>
      <c r="C154">
        <v>9784.2900000000009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336</v>
      </c>
      <c r="B155">
        <v>2020</v>
      </c>
      <c r="C155">
        <v>10372.67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336</v>
      </c>
      <c r="B156">
        <v>2019</v>
      </c>
      <c r="C156">
        <v>10163.93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336</v>
      </c>
      <c r="B157">
        <v>2018</v>
      </c>
      <c r="C157">
        <v>9217.73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336</v>
      </c>
      <c r="B158">
        <v>2017</v>
      </c>
      <c r="C158">
        <v>8215.52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336</v>
      </c>
      <c r="B159">
        <v>2016</v>
      </c>
      <c r="C159">
        <v>7453.74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336</v>
      </c>
      <c r="B160">
        <v>2015</v>
      </c>
      <c r="C160">
        <v>6799.35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336</v>
      </c>
      <c r="B161">
        <v>2014</v>
      </c>
      <c r="C161">
        <v>6028.69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337</v>
      </c>
      <c r="B162">
        <v>2023</v>
      </c>
      <c r="C162">
        <v>9299.07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337</v>
      </c>
      <c r="B163">
        <v>2022</v>
      </c>
      <c r="C163">
        <v>8623.8700000000008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337</v>
      </c>
      <c r="B164">
        <v>2021</v>
      </c>
      <c r="C164">
        <v>7933.67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337</v>
      </c>
      <c r="B165">
        <v>2020</v>
      </c>
      <c r="C165">
        <v>8442.8799999999992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337</v>
      </c>
      <c r="B166">
        <v>2019</v>
      </c>
      <c r="C166">
        <v>7970.21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337</v>
      </c>
      <c r="B167">
        <v>2018</v>
      </c>
      <c r="C167">
        <v>7258.27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337</v>
      </c>
      <c r="B168">
        <v>2017</v>
      </c>
      <c r="C168">
        <v>6801.26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337</v>
      </c>
      <c r="B169">
        <v>2016</v>
      </c>
      <c r="C169">
        <v>6422.98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337</v>
      </c>
      <c r="B170">
        <v>2015</v>
      </c>
      <c r="C170">
        <v>6132.84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337</v>
      </c>
      <c r="B171">
        <v>2014</v>
      </c>
      <c r="C171">
        <v>4934.1499999999996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338</v>
      </c>
      <c r="B172">
        <v>2023</v>
      </c>
      <c r="C172">
        <v>9581.1200000000008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338</v>
      </c>
      <c r="B173">
        <v>2022</v>
      </c>
      <c r="C173">
        <v>8991.61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338</v>
      </c>
      <c r="B174">
        <v>2021</v>
      </c>
      <c r="C174">
        <v>8325.5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338</v>
      </c>
      <c r="B175">
        <v>2020</v>
      </c>
      <c r="C175">
        <v>8403.1299999999992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338</v>
      </c>
      <c r="B176">
        <v>2019</v>
      </c>
      <c r="C176">
        <v>8034.42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338</v>
      </c>
      <c r="B177">
        <v>2018</v>
      </c>
      <c r="C177">
        <v>7479.61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338</v>
      </c>
      <c r="B178">
        <v>2017</v>
      </c>
      <c r="C178">
        <v>6869.39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338</v>
      </c>
      <c r="B179">
        <v>2016</v>
      </c>
      <c r="C179">
        <v>6339.16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338</v>
      </c>
      <c r="B180">
        <v>2015</v>
      </c>
      <c r="C180">
        <v>5728.72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338</v>
      </c>
      <c r="B181">
        <v>2014</v>
      </c>
      <c r="C181">
        <v>5017.38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339</v>
      </c>
      <c r="B182">
        <v>2023</v>
      </c>
      <c r="C182">
        <v>18527.03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339</v>
      </c>
      <c r="B183">
        <v>2022</v>
      </c>
      <c r="C183">
        <v>18533.080000000002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339</v>
      </c>
      <c r="B184">
        <v>2021</v>
      </c>
      <c r="C184">
        <v>18247.009999999998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339</v>
      </c>
      <c r="B185">
        <v>2020</v>
      </c>
      <c r="C185">
        <v>17430.79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339</v>
      </c>
      <c r="B186">
        <v>2019</v>
      </c>
      <c r="C186">
        <v>17297.849999999999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339</v>
      </c>
      <c r="B187">
        <v>2018</v>
      </c>
      <c r="C187">
        <v>15729.26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339</v>
      </c>
      <c r="B188">
        <v>2017</v>
      </c>
      <c r="C188">
        <v>15037.48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339</v>
      </c>
      <c r="B189">
        <v>2016</v>
      </c>
      <c r="C189">
        <v>13446.09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339</v>
      </c>
      <c r="B190">
        <v>2015</v>
      </c>
      <c r="C190">
        <v>12827.8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339</v>
      </c>
      <c r="B191">
        <v>2014</v>
      </c>
      <c r="C191">
        <v>9152.64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340</v>
      </c>
      <c r="B192">
        <v>2023</v>
      </c>
      <c r="C192">
        <v>6101.37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340</v>
      </c>
      <c r="B193">
        <v>2022</v>
      </c>
      <c r="C193">
        <v>5893.32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340</v>
      </c>
      <c r="B194">
        <v>2021</v>
      </c>
      <c r="C194">
        <v>5806.54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340</v>
      </c>
      <c r="B195">
        <v>2020</v>
      </c>
      <c r="C195">
        <v>6179.47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340</v>
      </c>
      <c r="B196">
        <v>2019</v>
      </c>
      <c r="C196">
        <v>5850.96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340</v>
      </c>
      <c r="B197">
        <v>2018</v>
      </c>
      <c r="C197">
        <v>5310.74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340</v>
      </c>
      <c r="B198">
        <v>2017</v>
      </c>
      <c r="C198">
        <v>4908.55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340</v>
      </c>
      <c r="B199">
        <v>2016</v>
      </c>
      <c r="C199">
        <v>4441.7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340</v>
      </c>
      <c r="B200">
        <v>2015</v>
      </c>
      <c r="C200">
        <v>4065.51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340</v>
      </c>
      <c r="B201">
        <v>2014</v>
      </c>
      <c r="C201">
        <v>3479.79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341</v>
      </c>
      <c r="B202">
        <v>2023</v>
      </c>
      <c r="C202">
        <v>2248.96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341</v>
      </c>
      <c r="B203">
        <v>2022</v>
      </c>
      <c r="C203">
        <v>2097.37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341</v>
      </c>
      <c r="B204">
        <v>2021</v>
      </c>
      <c r="C204">
        <v>1971.37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341</v>
      </c>
      <c r="B205">
        <v>2020</v>
      </c>
      <c r="C205">
        <v>1972.46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341</v>
      </c>
      <c r="B206">
        <v>2019</v>
      </c>
      <c r="C206">
        <v>1858.6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341</v>
      </c>
      <c r="B207">
        <v>2018</v>
      </c>
      <c r="C207">
        <v>1691.3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341</v>
      </c>
      <c r="B208">
        <v>2017</v>
      </c>
      <c r="C208">
        <v>1443.97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341</v>
      </c>
      <c r="B209">
        <v>2016</v>
      </c>
      <c r="C209">
        <v>1376.48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341</v>
      </c>
      <c r="B210">
        <v>2015</v>
      </c>
      <c r="C210">
        <v>1239.43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341</v>
      </c>
      <c r="B211">
        <v>2014</v>
      </c>
      <c r="C211">
        <v>1099.74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342</v>
      </c>
      <c r="B212">
        <v>2023</v>
      </c>
      <c r="C212">
        <v>5304.56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342</v>
      </c>
      <c r="B213">
        <v>2022</v>
      </c>
      <c r="C213">
        <v>4892.7700000000004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342</v>
      </c>
      <c r="B214">
        <v>2021</v>
      </c>
      <c r="C214">
        <v>4835.0600000000004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342</v>
      </c>
      <c r="B215">
        <v>2020</v>
      </c>
      <c r="C215">
        <v>4893.95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342</v>
      </c>
      <c r="B216">
        <v>2019</v>
      </c>
      <c r="C216">
        <v>4847.68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342</v>
      </c>
      <c r="B217">
        <v>2018</v>
      </c>
      <c r="C217">
        <v>4540.95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342</v>
      </c>
      <c r="B218">
        <v>2017</v>
      </c>
      <c r="C218">
        <v>4336.28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342</v>
      </c>
      <c r="B219">
        <v>2016</v>
      </c>
      <c r="C219">
        <v>4001.81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342</v>
      </c>
      <c r="B220">
        <v>2015</v>
      </c>
      <c r="C220">
        <v>3792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342</v>
      </c>
      <c r="B221">
        <v>2014</v>
      </c>
      <c r="C221">
        <v>3304.39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343</v>
      </c>
      <c r="B222">
        <v>2023</v>
      </c>
      <c r="C222">
        <v>12732.79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343</v>
      </c>
      <c r="B223">
        <v>2022</v>
      </c>
      <c r="C223">
        <v>11914.66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343</v>
      </c>
      <c r="B224">
        <v>2021</v>
      </c>
      <c r="C224">
        <v>11215.69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343</v>
      </c>
      <c r="B225">
        <v>2020</v>
      </c>
      <c r="C225">
        <v>11198.54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343</v>
      </c>
      <c r="B226">
        <v>2019</v>
      </c>
      <c r="C226">
        <v>10348.17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343</v>
      </c>
      <c r="B227">
        <v>2018</v>
      </c>
      <c r="C227">
        <v>9707.5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343</v>
      </c>
      <c r="B228">
        <v>2017</v>
      </c>
      <c r="C228">
        <v>8694.76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343</v>
      </c>
      <c r="B229">
        <v>2016</v>
      </c>
      <c r="C229">
        <v>8008.89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343</v>
      </c>
      <c r="B230">
        <v>2015</v>
      </c>
      <c r="C230">
        <v>7497.51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343</v>
      </c>
      <c r="B231">
        <v>2014</v>
      </c>
      <c r="C231">
        <v>6796.61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344</v>
      </c>
      <c r="B232">
        <v>2023</v>
      </c>
      <c r="C232">
        <v>6203.7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344</v>
      </c>
      <c r="B233">
        <v>2022</v>
      </c>
      <c r="C233">
        <v>5851.36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344</v>
      </c>
      <c r="B234">
        <v>2021</v>
      </c>
      <c r="C234">
        <v>5590.01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344</v>
      </c>
      <c r="B235">
        <v>2020</v>
      </c>
      <c r="C235">
        <v>5739.5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344</v>
      </c>
      <c r="B236">
        <v>2019</v>
      </c>
      <c r="C236">
        <v>5948.74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344</v>
      </c>
      <c r="B237">
        <v>2018</v>
      </c>
      <c r="C237">
        <v>5029.68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344</v>
      </c>
      <c r="B238">
        <v>2017</v>
      </c>
      <c r="C238">
        <v>4612.5200000000004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344</v>
      </c>
      <c r="B239">
        <v>2016</v>
      </c>
      <c r="C239">
        <v>4262.3599999999997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344</v>
      </c>
      <c r="B240">
        <v>2015</v>
      </c>
      <c r="C240">
        <v>3939.5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344</v>
      </c>
      <c r="B241">
        <v>2014</v>
      </c>
      <c r="C241">
        <v>3542.8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345</v>
      </c>
      <c r="B242">
        <v>2023</v>
      </c>
      <c r="C242">
        <v>6730.08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345</v>
      </c>
      <c r="B243">
        <v>2022</v>
      </c>
      <c r="C243">
        <v>6699.79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345</v>
      </c>
      <c r="B244">
        <v>2021</v>
      </c>
      <c r="C244">
        <v>6634.36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345</v>
      </c>
      <c r="B245">
        <v>2020</v>
      </c>
      <c r="C245">
        <v>6974.02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345</v>
      </c>
      <c r="B246">
        <v>2019</v>
      </c>
      <c r="C246">
        <v>6770.09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345</v>
      </c>
      <c r="B247">
        <v>2018</v>
      </c>
      <c r="C247">
        <v>6075.03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345</v>
      </c>
      <c r="B248">
        <v>2017</v>
      </c>
      <c r="C248">
        <v>5712.97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345</v>
      </c>
      <c r="B249">
        <v>2016</v>
      </c>
      <c r="C249">
        <v>5018.8599999999997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345</v>
      </c>
      <c r="B250">
        <v>2015</v>
      </c>
      <c r="C250">
        <v>4712.83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345</v>
      </c>
      <c r="B251">
        <v>2014</v>
      </c>
      <c r="C251">
        <v>4437.9799999999996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346</v>
      </c>
      <c r="B252">
        <v>2023</v>
      </c>
      <c r="C252">
        <v>2809.02</v>
      </c>
      <c r="D252" t="e">
        <f>VLOOKUP(表1_[[#This Row],[地区]],Sheet2!A:B,2,0)</f>
        <v>#N/A</v>
      </c>
      <c r="E252" t="e">
        <f>表1_[[#This Row],[年份]]+表1_[[#This Row],[行政区划]]</f>
        <v>#N/A</v>
      </c>
    </row>
    <row r="253" spans="1:5" x14ac:dyDescent="0.3">
      <c r="A253" t="s">
        <v>346</v>
      </c>
      <c r="B253">
        <v>2022</v>
      </c>
      <c r="C253">
        <v>2592.98</v>
      </c>
      <c r="D253" t="e">
        <f>VLOOKUP(表1_[[#This Row],[地区]],Sheet2!A:B,2,0)</f>
        <v>#N/A</v>
      </c>
      <c r="E253" t="e">
        <f>表1_[[#This Row],[年份]]+表1_[[#This Row],[行政区划]]</f>
        <v>#N/A</v>
      </c>
    </row>
    <row r="254" spans="1:5" x14ac:dyDescent="0.3">
      <c r="A254" t="s">
        <v>346</v>
      </c>
      <c r="B254">
        <v>2021</v>
      </c>
      <c r="C254">
        <v>2027.01</v>
      </c>
      <c r="D254" t="e">
        <f>VLOOKUP(表1_[[#This Row],[地区]],Sheet2!A:B,2,0)</f>
        <v>#N/A</v>
      </c>
      <c r="E254" t="e">
        <f>表1_[[#This Row],[年份]]+表1_[[#This Row],[行政区划]]</f>
        <v>#N/A</v>
      </c>
    </row>
    <row r="255" spans="1:5" x14ac:dyDescent="0.3">
      <c r="A255" t="s">
        <v>346</v>
      </c>
      <c r="B255">
        <v>2020</v>
      </c>
      <c r="C255">
        <v>2210.92</v>
      </c>
      <c r="D255" t="e">
        <f>VLOOKUP(表1_[[#This Row],[地区]],Sheet2!A:B,2,0)</f>
        <v>#N/A</v>
      </c>
      <c r="E255" t="e">
        <f>表1_[[#This Row],[年份]]+表1_[[#This Row],[行政区划]]</f>
        <v>#N/A</v>
      </c>
    </row>
    <row r="256" spans="1:5" x14ac:dyDescent="0.3">
      <c r="A256" t="s">
        <v>346</v>
      </c>
      <c r="B256">
        <v>2019</v>
      </c>
      <c r="C256">
        <v>2187.75</v>
      </c>
      <c r="D256" t="e">
        <f>VLOOKUP(表1_[[#This Row],[地区]],Sheet2!A:B,2,0)</f>
        <v>#N/A</v>
      </c>
      <c r="E256" t="e">
        <f>表1_[[#This Row],[年份]]+表1_[[#This Row],[行政区划]]</f>
        <v>#N/A</v>
      </c>
    </row>
    <row r="257" spans="1:5" x14ac:dyDescent="0.3">
      <c r="A257" t="s">
        <v>346</v>
      </c>
      <c r="B257">
        <v>2018</v>
      </c>
      <c r="C257">
        <v>1970.68</v>
      </c>
      <c r="D257" t="e">
        <f>VLOOKUP(表1_[[#This Row],[地区]],Sheet2!A:B,2,0)</f>
        <v>#N/A</v>
      </c>
      <c r="E257" t="e">
        <f>表1_[[#This Row],[年份]]+表1_[[#This Row],[行政区划]]</f>
        <v>#N/A</v>
      </c>
    </row>
    <row r="258" spans="1:5" x14ac:dyDescent="0.3">
      <c r="A258" t="s">
        <v>346</v>
      </c>
      <c r="B258">
        <v>2017</v>
      </c>
      <c r="C258">
        <v>1681.94</v>
      </c>
      <c r="D258" t="e">
        <f>VLOOKUP(表1_[[#This Row],[地区]],Sheet2!A:B,2,0)</f>
        <v>#N/A</v>
      </c>
      <c r="E258" t="e">
        <f>表1_[[#This Row],[年份]]+表1_[[#This Row],[行政区划]]</f>
        <v>#N/A</v>
      </c>
    </row>
    <row r="259" spans="1:5" x14ac:dyDescent="0.3">
      <c r="A259" t="s">
        <v>346</v>
      </c>
      <c r="B259">
        <v>2016</v>
      </c>
      <c r="C259">
        <v>1587.98</v>
      </c>
      <c r="D259" t="e">
        <f>VLOOKUP(表1_[[#This Row],[地区]],Sheet2!A:B,2,0)</f>
        <v>#N/A</v>
      </c>
      <c r="E259" t="e">
        <f>表1_[[#This Row],[年份]]+表1_[[#This Row],[行政区划]]</f>
        <v>#N/A</v>
      </c>
    </row>
    <row r="260" spans="1:5" x14ac:dyDescent="0.3">
      <c r="A260" t="s">
        <v>346</v>
      </c>
      <c r="B260">
        <v>2015</v>
      </c>
      <c r="C260">
        <v>1381.46</v>
      </c>
      <c r="D260" t="e">
        <f>VLOOKUP(表1_[[#This Row],[地区]],Sheet2!A:B,2,0)</f>
        <v>#N/A</v>
      </c>
      <c r="E260" t="e">
        <f>表1_[[#This Row],[年份]]+表1_[[#This Row],[行政区划]]</f>
        <v>#N/A</v>
      </c>
    </row>
    <row r="261" spans="1:5" x14ac:dyDescent="0.3">
      <c r="A261" t="s">
        <v>346</v>
      </c>
      <c r="B261">
        <v>2014</v>
      </c>
      <c r="C261">
        <v>1185.51</v>
      </c>
      <c r="D261" t="e">
        <f>VLOOKUP(表1_[[#This Row],[地区]],Sheet2!A:B,2,0)</f>
        <v>#N/A</v>
      </c>
      <c r="E261" t="e">
        <f>表1_[[#This Row],[年份]]+表1_[[#This Row],[行政区划]]</f>
        <v>#N/A</v>
      </c>
    </row>
    <row r="262" spans="1:5" x14ac:dyDescent="0.3">
      <c r="A262" t="s">
        <v>347</v>
      </c>
      <c r="B262">
        <v>2023</v>
      </c>
      <c r="C262">
        <v>7175.08</v>
      </c>
      <c r="D262">
        <f>VLOOKUP(表1_[[#This Row],[地区]],Sheet2!A:B,2,0)</f>
        <v>610000</v>
      </c>
      <c r="E262">
        <f>表1_[[#This Row],[年份]]+表1_[[#This Row],[行政区划]]</f>
        <v>612023</v>
      </c>
    </row>
    <row r="263" spans="1:5" x14ac:dyDescent="0.3">
      <c r="A263" t="s">
        <v>347</v>
      </c>
      <c r="B263">
        <v>2022</v>
      </c>
      <c r="C263">
        <v>6760.98</v>
      </c>
      <c r="D263">
        <f>VLOOKUP(表1_[[#This Row],[地区]],Sheet2!A:B,2,0)</f>
        <v>610000</v>
      </c>
      <c r="E263">
        <f>表1_[[#This Row],[年份]]+表1_[[#This Row],[行政区划]]</f>
        <v>612022</v>
      </c>
    </row>
    <row r="264" spans="1:5" x14ac:dyDescent="0.3">
      <c r="A264" t="s">
        <v>347</v>
      </c>
      <c r="B264">
        <v>2021</v>
      </c>
      <c r="C264">
        <v>6069.22</v>
      </c>
      <c r="D264">
        <f>VLOOKUP(表1_[[#This Row],[地区]],Sheet2!A:B,2,0)</f>
        <v>610000</v>
      </c>
      <c r="E264">
        <f>表1_[[#This Row],[年份]]+表1_[[#This Row],[行政区划]]</f>
        <v>612021</v>
      </c>
    </row>
    <row r="265" spans="1:5" x14ac:dyDescent="0.3">
      <c r="A265" t="s">
        <v>347</v>
      </c>
      <c r="B265">
        <v>2020</v>
      </c>
      <c r="C265">
        <v>5930.32</v>
      </c>
      <c r="D265">
        <f>VLOOKUP(表1_[[#This Row],[地区]],Sheet2!A:B,2,0)</f>
        <v>610000</v>
      </c>
      <c r="E265">
        <f>表1_[[#This Row],[年份]]+表1_[[#This Row],[行政区划]]</f>
        <v>612020</v>
      </c>
    </row>
    <row r="266" spans="1:5" x14ac:dyDescent="0.3">
      <c r="A266" t="s">
        <v>347</v>
      </c>
      <c r="B266">
        <v>2019</v>
      </c>
      <c r="C266">
        <v>5718.52</v>
      </c>
      <c r="D266">
        <f>VLOOKUP(表1_[[#This Row],[地区]],Sheet2!A:B,2,0)</f>
        <v>610000</v>
      </c>
      <c r="E266">
        <f>表1_[[#This Row],[年份]]+表1_[[#This Row],[行政区划]]</f>
        <v>612019</v>
      </c>
    </row>
    <row r="267" spans="1:5" x14ac:dyDescent="0.3">
      <c r="A267" t="s">
        <v>347</v>
      </c>
      <c r="B267">
        <v>2018</v>
      </c>
      <c r="C267">
        <v>5302.44</v>
      </c>
      <c r="D267">
        <f>VLOOKUP(表1_[[#This Row],[地区]],Sheet2!A:B,2,0)</f>
        <v>610000</v>
      </c>
      <c r="E267">
        <f>表1_[[#This Row],[年份]]+表1_[[#This Row],[行政区划]]</f>
        <v>612018</v>
      </c>
    </row>
    <row r="268" spans="1:5" x14ac:dyDescent="0.3">
      <c r="A268" t="s">
        <v>347</v>
      </c>
      <c r="B268">
        <v>2017</v>
      </c>
      <c r="C268">
        <v>4833.1899999999996</v>
      </c>
      <c r="D268">
        <f>VLOOKUP(表1_[[#This Row],[地区]],Sheet2!A:B,2,0)</f>
        <v>610000</v>
      </c>
      <c r="E268">
        <f>表1_[[#This Row],[年份]]+表1_[[#This Row],[行政区划]]</f>
        <v>612017</v>
      </c>
    </row>
    <row r="269" spans="1:5" x14ac:dyDescent="0.3">
      <c r="A269" t="s">
        <v>347</v>
      </c>
      <c r="B269">
        <v>2016</v>
      </c>
      <c r="C269">
        <v>4389.37</v>
      </c>
      <c r="D269">
        <f>VLOOKUP(表1_[[#This Row],[地区]],Sheet2!A:B,2,0)</f>
        <v>610000</v>
      </c>
      <c r="E269">
        <f>表1_[[#This Row],[年份]]+表1_[[#This Row],[行政区划]]</f>
        <v>612016</v>
      </c>
    </row>
    <row r="270" spans="1:5" x14ac:dyDescent="0.3">
      <c r="A270" t="s">
        <v>347</v>
      </c>
      <c r="B270">
        <v>2015</v>
      </c>
      <c r="C270">
        <v>4376.0600000000004</v>
      </c>
      <c r="D270">
        <f>VLOOKUP(表1_[[#This Row],[地区]],Sheet2!A:B,2,0)</f>
        <v>610000</v>
      </c>
      <c r="E270">
        <f>表1_[[#This Row],[年份]]+表1_[[#This Row],[行政区划]]</f>
        <v>612015</v>
      </c>
    </row>
    <row r="271" spans="1:5" x14ac:dyDescent="0.3">
      <c r="A271" t="s">
        <v>347</v>
      </c>
      <c r="B271">
        <v>2014</v>
      </c>
      <c r="C271">
        <v>3962.5</v>
      </c>
      <c r="D271">
        <f>VLOOKUP(表1_[[#This Row],[地区]],Sheet2!A:B,2,0)</f>
        <v>610000</v>
      </c>
      <c r="E271">
        <f>表1_[[#This Row],[年份]]+表1_[[#This Row],[行政区划]]</f>
        <v>612014</v>
      </c>
    </row>
    <row r="272" spans="1:5" x14ac:dyDescent="0.3">
      <c r="A272" t="s">
        <v>348</v>
      </c>
      <c r="B272">
        <v>2023</v>
      </c>
      <c r="C272">
        <v>4521.82</v>
      </c>
      <c r="D272">
        <f>VLOOKUP(表1_[[#This Row],[地区]],Sheet2!A:B,2,0)</f>
        <v>620000</v>
      </c>
      <c r="E272">
        <f>表1_[[#This Row],[年份]]+表1_[[#This Row],[行政区划]]</f>
        <v>622023</v>
      </c>
    </row>
    <row r="273" spans="1:5" x14ac:dyDescent="0.3">
      <c r="A273" t="s">
        <v>348</v>
      </c>
      <c r="B273">
        <v>2022</v>
      </c>
      <c r="C273">
        <v>4257.16</v>
      </c>
      <c r="D273">
        <f>VLOOKUP(表1_[[#This Row],[地区]],Sheet2!A:B,2,0)</f>
        <v>620000</v>
      </c>
      <c r="E273">
        <f>表1_[[#This Row],[年份]]+表1_[[#This Row],[行政区划]]</f>
        <v>622022</v>
      </c>
    </row>
    <row r="274" spans="1:5" x14ac:dyDescent="0.3">
      <c r="A274" t="s">
        <v>348</v>
      </c>
      <c r="B274">
        <v>2021</v>
      </c>
      <c r="C274">
        <v>4032.56</v>
      </c>
      <c r="D274">
        <f>VLOOKUP(表1_[[#This Row],[地区]],Sheet2!A:B,2,0)</f>
        <v>620000</v>
      </c>
      <c r="E274">
        <f>表1_[[#This Row],[年份]]+表1_[[#This Row],[行政区划]]</f>
        <v>622021</v>
      </c>
    </row>
    <row r="275" spans="1:5" x14ac:dyDescent="0.3">
      <c r="A275" t="s">
        <v>348</v>
      </c>
      <c r="B275">
        <v>2020</v>
      </c>
      <c r="C275">
        <v>4163.3999999999996</v>
      </c>
      <c r="D275">
        <f>VLOOKUP(表1_[[#This Row],[地区]],Sheet2!A:B,2,0)</f>
        <v>620000</v>
      </c>
      <c r="E275">
        <f>表1_[[#This Row],[年份]]+表1_[[#This Row],[行政区划]]</f>
        <v>622020</v>
      </c>
    </row>
    <row r="276" spans="1:5" x14ac:dyDescent="0.3">
      <c r="A276" t="s">
        <v>348</v>
      </c>
      <c r="B276">
        <v>2019</v>
      </c>
      <c r="C276">
        <v>3951.6</v>
      </c>
      <c r="D276">
        <f>VLOOKUP(表1_[[#This Row],[地区]],Sheet2!A:B,2,0)</f>
        <v>620000</v>
      </c>
      <c r="E276">
        <f>表1_[[#This Row],[年份]]+表1_[[#This Row],[行政区划]]</f>
        <v>622019</v>
      </c>
    </row>
    <row r="277" spans="1:5" x14ac:dyDescent="0.3">
      <c r="A277" t="s">
        <v>348</v>
      </c>
      <c r="B277">
        <v>2018</v>
      </c>
      <c r="C277">
        <v>3772.23</v>
      </c>
      <c r="D277">
        <f>VLOOKUP(表1_[[#This Row],[地区]],Sheet2!A:B,2,0)</f>
        <v>620000</v>
      </c>
      <c r="E277">
        <f>表1_[[#This Row],[年份]]+表1_[[#This Row],[行政区划]]</f>
        <v>622018</v>
      </c>
    </row>
    <row r="278" spans="1:5" x14ac:dyDescent="0.3">
      <c r="A278" t="s">
        <v>348</v>
      </c>
      <c r="B278">
        <v>2017</v>
      </c>
      <c r="C278">
        <v>3304.44</v>
      </c>
      <c r="D278">
        <f>VLOOKUP(表1_[[#This Row],[地区]],Sheet2!A:B,2,0)</f>
        <v>620000</v>
      </c>
      <c r="E278">
        <f>表1_[[#This Row],[年份]]+表1_[[#This Row],[行政区划]]</f>
        <v>622017</v>
      </c>
    </row>
    <row r="279" spans="1:5" x14ac:dyDescent="0.3">
      <c r="A279" t="s">
        <v>348</v>
      </c>
      <c r="B279">
        <v>2016</v>
      </c>
      <c r="C279">
        <v>3150.03</v>
      </c>
      <c r="D279">
        <f>VLOOKUP(表1_[[#This Row],[地区]],Sheet2!A:B,2,0)</f>
        <v>620000</v>
      </c>
      <c r="E279">
        <f>表1_[[#This Row],[年份]]+表1_[[#This Row],[行政区划]]</f>
        <v>622016</v>
      </c>
    </row>
    <row r="280" spans="1:5" x14ac:dyDescent="0.3">
      <c r="A280" t="s">
        <v>348</v>
      </c>
      <c r="B280">
        <v>2015</v>
      </c>
      <c r="C280">
        <v>2958.31</v>
      </c>
      <c r="D280">
        <f>VLOOKUP(表1_[[#This Row],[地区]],Sheet2!A:B,2,0)</f>
        <v>620000</v>
      </c>
      <c r="E280">
        <f>表1_[[#This Row],[年份]]+表1_[[#This Row],[行政区划]]</f>
        <v>622015</v>
      </c>
    </row>
    <row r="281" spans="1:5" x14ac:dyDescent="0.3">
      <c r="A281" t="s">
        <v>348</v>
      </c>
      <c r="B281">
        <v>2014</v>
      </c>
      <c r="C281">
        <v>2541.4899999999998</v>
      </c>
      <c r="D281">
        <f>VLOOKUP(表1_[[#This Row],[地区]],Sheet2!A:B,2,0)</f>
        <v>620000</v>
      </c>
      <c r="E281">
        <f>表1_[[#This Row],[年份]]+表1_[[#This Row],[行政区划]]</f>
        <v>622014</v>
      </c>
    </row>
    <row r="282" spans="1:5" x14ac:dyDescent="0.3">
      <c r="A282" t="s">
        <v>349</v>
      </c>
      <c r="B282">
        <v>2023</v>
      </c>
      <c r="C282">
        <v>2188.7199999999998</v>
      </c>
      <c r="D282">
        <f>VLOOKUP(表1_[[#This Row],[地区]],Sheet2!A:B,2,0)</f>
        <v>630000</v>
      </c>
      <c r="E282">
        <f>表1_[[#This Row],[年份]]+表1_[[#This Row],[行政区划]]</f>
        <v>632023</v>
      </c>
    </row>
    <row r="283" spans="1:5" x14ac:dyDescent="0.3">
      <c r="A283" t="s">
        <v>349</v>
      </c>
      <c r="B283">
        <v>2022</v>
      </c>
      <c r="C283">
        <v>1975.1</v>
      </c>
      <c r="D283">
        <f>VLOOKUP(表1_[[#This Row],[地区]],Sheet2!A:B,2,0)</f>
        <v>630000</v>
      </c>
      <c r="E283">
        <f>表1_[[#This Row],[年份]]+表1_[[#This Row],[行政区划]]</f>
        <v>632022</v>
      </c>
    </row>
    <row r="284" spans="1:5" x14ac:dyDescent="0.3">
      <c r="A284" t="s">
        <v>349</v>
      </c>
      <c r="B284">
        <v>2021</v>
      </c>
      <c r="C284">
        <v>1854.52</v>
      </c>
      <c r="D284">
        <f>VLOOKUP(表1_[[#This Row],[地区]],Sheet2!A:B,2,0)</f>
        <v>630000</v>
      </c>
      <c r="E284">
        <f>表1_[[#This Row],[年份]]+表1_[[#This Row],[行政区划]]</f>
        <v>632021</v>
      </c>
    </row>
    <row r="285" spans="1:5" x14ac:dyDescent="0.3">
      <c r="A285" t="s">
        <v>349</v>
      </c>
      <c r="B285">
        <v>2020</v>
      </c>
      <c r="C285">
        <v>1932.84</v>
      </c>
      <c r="D285">
        <f>VLOOKUP(表1_[[#This Row],[地区]],Sheet2!A:B,2,0)</f>
        <v>630000</v>
      </c>
      <c r="E285">
        <f>表1_[[#This Row],[年份]]+表1_[[#This Row],[行政区划]]</f>
        <v>632020</v>
      </c>
    </row>
    <row r="286" spans="1:5" x14ac:dyDescent="0.3">
      <c r="A286" t="s">
        <v>349</v>
      </c>
      <c r="B286">
        <v>2019</v>
      </c>
      <c r="C286">
        <v>1863.67</v>
      </c>
      <c r="D286">
        <f>VLOOKUP(表1_[[#This Row],[地区]],Sheet2!A:B,2,0)</f>
        <v>630000</v>
      </c>
      <c r="E286">
        <f>表1_[[#This Row],[年份]]+表1_[[#This Row],[行政区划]]</f>
        <v>632019</v>
      </c>
    </row>
    <row r="287" spans="1:5" x14ac:dyDescent="0.3">
      <c r="A287" t="s">
        <v>349</v>
      </c>
      <c r="B287">
        <v>2018</v>
      </c>
      <c r="C287">
        <v>1647.43</v>
      </c>
      <c r="D287">
        <f>VLOOKUP(表1_[[#This Row],[地区]],Sheet2!A:B,2,0)</f>
        <v>630000</v>
      </c>
      <c r="E287">
        <f>表1_[[#This Row],[年份]]+表1_[[#This Row],[行政区划]]</f>
        <v>632018</v>
      </c>
    </row>
    <row r="288" spans="1:5" x14ac:dyDescent="0.3">
      <c r="A288" t="s">
        <v>349</v>
      </c>
      <c r="B288">
        <v>2017</v>
      </c>
      <c r="C288">
        <v>1530.44</v>
      </c>
      <c r="D288">
        <f>VLOOKUP(表1_[[#This Row],[地区]],Sheet2!A:B,2,0)</f>
        <v>630000</v>
      </c>
      <c r="E288">
        <f>表1_[[#This Row],[年份]]+表1_[[#This Row],[行政区划]]</f>
        <v>632017</v>
      </c>
    </row>
    <row r="289" spans="1:5" x14ac:dyDescent="0.3">
      <c r="A289" t="s">
        <v>349</v>
      </c>
      <c r="B289">
        <v>2016</v>
      </c>
      <c r="C289">
        <v>1524.8</v>
      </c>
      <c r="D289">
        <f>VLOOKUP(表1_[[#This Row],[地区]],Sheet2!A:B,2,0)</f>
        <v>630000</v>
      </c>
      <c r="E289">
        <f>表1_[[#This Row],[年份]]+表1_[[#This Row],[行政区划]]</f>
        <v>632016</v>
      </c>
    </row>
    <row r="290" spans="1:5" x14ac:dyDescent="0.3">
      <c r="A290" t="s">
        <v>349</v>
      </c>
      <c r="B290">
        <v>2015</v>
      </c>
      <c r="C290">
        <v>1515.16</v>
      </c>
      <c r="D290">
        <f>VLOOKUP(表1_[[#This Row],[地区]],Sheet2!A:B,2,0)</f>
        <v>630000</v>
      </c>
      <c r="E290">
        <f>表1_[[#This Row],[年份]]+表1_[[#This Row],[行政区划]]</f>
        <v>632015</v>
      </c>
    </row>
    <row r="291" spans="1:5" x14ac:dyDescent="0.3">
      <c r="A291" t="s">
        <v>349</v>
      </c>
      <c r="B291">
        <v>2014</v>
      </c>
      <c r="C291">
        <v>1347.43</v>
      </c>
      <c r="D291">
        <f>VLOOKUP(表1_[[#This Row],[地区]],Sheet2!A:B,2,0)</f>
        <v>630000</v>
      </c>
      <c r="E291">
        <f>表1_[[#This Row],[年份]]+表1_[[#This Row],[行政区划]]</f>
        <v>632014</v>
      </c>
    </row>
    <row r="292" spans="1:5" x14ac:dyDescent="0.3">
      <c r="A292" t="s">
        <v>350</v>
      </c>
      <c r="B292">
        <v>2023</v>
      </c>
      <c r="C292">
        <v>1751.38</v>
      </c>
      <c r="D292">
        <f>VLOOKUP(表1_[[#This Row],[地区]],Sheet2!A:B,2,0)</f>
        <v>640000</v>
      </c>
      <c r="E292">
        <f>表1_[[#This Row],[年份]]+表1_[[#This Row],[行政区划]]</f>
        <v>642023</v>
      </c>
    </row>
    <row r="293" spans="1:5" x14ac:dyDescent="0.3">
      <c r="A293" t="s">
        <v>350</v>
      </c>
      <c r="B293">
        <v>2022</v>
      </c>
      <c r="C293">
        <v>1587.85</v>
      </c>
      <c r="D293">
        <f>VLOOKUP(表1_[[#This Row],[地区]],Sheet2!A:B,2,0)</f>
        <v>640000</v>
      </c>
      <c r="E293">
        <f>表1_[[#This Row],[年份]]+表1_[[#This Row],[行政区划]]</f>
        <v>642022</v>
      </c>
    </row>
    <row r="294" spans="1:5" x14ac:dyDescent="0.3">
      <c r="A294" t="s">
        <v>350</v>
      </c>
      <c r="B294">
        <v>2021</v>
      </c>
      <c r="C294">
        <v>1427.89</v>
      </c>
      <c r="D294">
        <f>VLOOKUP(表1_[[#This Row],[地区]],Sheet2!A:B,2,0)</f>
        <v>640000</v>
      </c>
      <c r="E294">
        <f>表1_[[#This Row],[年份]]+表1_[[#This Row],[行政区划]]</f>
        <v>642021</v>
      </c>
    </row>
    <row r="295" spans="1:5" x14ac:dyDescent="0.3">
      <c r="A295" t="s">
        <v>350</v>
      </c>
      <c r="B295">
        <v>2020</v>
      </c>
      <c r="C295">
        <v>1480.36</v>
      </c>
      <c r="D295">
        <f>VLOOKUP(表1_[[#This Row],[地区]],Sheet2!A:B,2,0)</f>
        <v>640000</v>
      </c>
      <c r="E295">
        <f>表1_[[#This Row],[年份]]+表1_[[#This Row],[行政区划]]</f>
        <v>642020</v>
      </c>
    </row>
    <row r="296" spans="1:5" x14ac:dyDescent="0.3">
      <c r="A296" t="s">
        <v>350</v>
      </c>
      <c r="B296">
        <v>2019</v>
      </c>
      <c r="C296">
        <v>1438.29</v>
      </c>
      <c r="D296">
        <f>VLOOKUP(表1_[[#This Row],[地区]],Sheet2!A:B,2,0)</f>
        <v>640000</v>
      </c>
      <c r="E296">
        <f>表1_[[#This Row],[年份]]+表1_[[#This Row],[行政区划]]</f>
        <v>642019</v>
      </c>
    </row>
    <row r="297" spans="1:5" x14ac:dyDescent="0.3">
      <c r="A297" t="s">
        <v>350</v>
      </c>
      <c r="B297">
        <v>2018</v>
      </c>
      <c r="C297">
        <v>1419.06</v>
      </c>
      <c r="D297">
        <f>VLOOKUP(表1_[[#This Row],[地区]],Sheet2!A:B,2,0)</f>
        <v>640000</v>
      </c>
      <c r="E297">
        <f>表1_[[#This Row],[年份]]+表1_[[#This Row],[行政区划]]</f>
        <v>642018</v>
      </c>
    </row>
    <row r="298" spans="1:5" x14ac:dyDescent="0.3">
      <c r="A298" t="s">
        <v>350</v>
      </c>
      <c r="B298">
        <v>2017</v>
      </c>
      <c r="C298">
        <v>1372.78</v>
      </c>
      <c r="D298">
        <f>VLOOKUP(表1_[[#This Row],[地区]],Sheet2!A:B,2,0)</f>
        <v>640000</v>
      </c>
      <c r="E298">
        <f>表1_[[#This Row],[年份]]+表1_[[#This Row],[行政区划]]</f>
        <v>642017</v>
      </c>
    </row>
    <row r="299" spans="1:5" x14ac:dyDescent="0.3">
      <c r="A299" t="s">
        <v>350</v>
      </c>
      <c r="B299">
        <v>2016</v>
      </c>
      <c r="C299">
        <v>1254.54</v>
      </c>
      <c r="D299">
        <f>VLOOKUP(表1_[[#This Row],[地区]],Sheet2!A:B,2,0)</f>
        <v>640000</v>
      </c>
      <c r="E299">
        <f>表1_[[#This Row],[年份]]+表1_[[#This Row],[行政区划]]</f>
        <v>642016</v>
      </c>
    </row>
    <row r="300" spans="1:5" x14ac:dyDescent="0.3">
      <c r="A300" t="s">
        <v>350</v>
      </c>
      <c r="B300">
        <v>2015</v>
      </c>
      <c r="C300">
        <v>1138.49</v>
      </c>
      <c r="D300">
        <f>VLOOKUP(表1_[[#This Row],[地区]],Sheet2!A:B,2,0)</f>
        <v>640000</v>
      </c>
      <c r="E300">
        <f>表1_[[#This Row],[年份]]+表1_[[#This Row],[行政区划]]</f>
        <v>642015</v>
      </c>
    </row>
    <row r="301" spans="1:5" x14ac:dyDescent="0.3">
      <c r="A301" t="s">
        <v>350</v>
      </c>
      <c r="B301">
        <v>2014</v>
      </c>
      <c r="C301">
        <v>1000.45</v>
      </c>
      <c r="D301">
        <f>VLOOKUP(表1_[[#This Row],[地区]],Sheet2!A:B,2,0)</f>
        <v>640000</v>
      </c>
      <c r="E301">
        <f>表1_[[#This Row],[年份]]+表1_[[#This Row],[行政区划]]</f>
        <v>642014</v>
      </c>
    </row>
    <row r="302" spans="1:5" x14ac:dyDescent="0.3">
      <c r="A302" t="s">
        <v>351</v>
      </c>
      <c r="B302">
        <v>2023</v>
      </c>
      <c r="C302">
        <v>7566.98</v>
      </c>
      <c r="D302">
        <f>VLOOKUP(表1_[[#This Row],[地区]],Sheet2!A:B,2,0)</f>
        <v>650000</v>
      </c>
      <c r="E302">
        <f>表1_[[#This Row],[年份]]+表1_[[#This Row],[行政区划]]</f>
        <v>652023</v>
      </c>
    </row>
    <row r="303" spans="1:5" x14ac:dyDescent="0.3">
      <c r="A303" t="s">
        <v>351</v>
      </c>
      <c r="B303">
        <v>2022</v>
      </c>
      <c r="C303">
        <v>6835.4</v>
      </c>
      <c r="D303">
        <f>VLOOKUP(表1_[[#This Row],[地区]],Sheet2!A:B,2,0)</f>
        <v>650000</v>
      </c>
      <c r="E303">
        <f>表1_[[#This Row],[年份]]+表1_[[#This Row],[行政区划]]</f>
        <v>652022</v>
      </c>
    </row>
    <row r="304" spans="1:5" x14ac:dyDescent="0.3">
      <c r="A304" t="s">
        <v>351</v>
      </c>
      <c r="B304">
        <v>2021</v>
      </c>
      <c r="C304">
        <v>5376.91</v>
      </c>
      <c r="D304">
        <f>VLOOKUP(表1_[[#This Row],[地区]],Sheet2!A:B,2,0)</f>
        <v>650000</v>
      </c>
      <c r="E304">
        <f>表1_[[#This Row],[年份]]+表1_[[#This Row],[行政区划]]</f>
        <v>652021</v>
      </c>
    </row>
    <row r="305" spans="1:5" x14ac:dyDescent="0.3">
      <c r="A305" t="s">
        <v>351</v>
      </c>
      <c r="B305">
        <v>2020</v>
      </c>
      <c r="C305">
        <v>5533.16</v>
      </c>
      <c r="D305">
        <f>VLOOKUP(表1_[[#This Row],[地区]],Sheet2!A:B,2,0)</f>
        <v>650000</v>
      </c>
      <c r="E305">
        <f>表1_[[#This Row],[年份]]+表1_[[#This Row],[行政区划]]</f>
        <v>652020</v>
      </c>
    </row>
    <row r="306" spans="1:5" x14ac:dyDescent="0.3">
      <c r="A306" t="s">
        <v>351</v>
      </c>
      <c r="B306">
        <v>2019</v>
      </c>
      <c r="C306">
        <v>5315.49</v>
      </c>
      <c r="D306">
        <f>VLOOKUP(表1_[[#This Row],[地区]],Sheet2!A:B,2,0)</f>
        <v>650000</v>
      </c>
      <c r="E306">
        <f>表1_[[#This Row],[年份]]+表1_[[#This Row],[行政区划]]</f>
        <v>652019</v>
      </c>
    </row>
    <row r="307" spans="1:5" x14ac:dyDescent="0.3">
      <c r="A307" t="s">
        <v>351</v>
      </c>
      <c r="B307">
        <v>2018</v>
      </c>
      <c r="C307">
        <v>5012.45</v>
      </c>
      <c r="D307">
        <f>VLOOKUP(表1_[[#This Row],[地区]],Sheet2!A:B,2,0)</f>
        <v>650000</v>
      </c>
      <c r="E307">
        <f>表1_[[#This Row],[年份]]+表1_[[#This Row],[行政区划]]</f>
        <v>652018</v>
      </c>
    </row>
    <row r="308" spans="1:5" x14ac:dyDescent="0.3">
      <c r="A308" t="s">
        <v>351</v>
      </c>
      <c r="B308">
        <v>2017</v>
      </c>
      <c r="C308">
        <v>4637.24</v>
      </c>
      <c r="D308">
        <f>VLOOKUP(表1_[[#This Row],[地区]],Sheet2!A:B,2,0)</f>
        <v>650000</v>
      </c>
      <c r="E308">
        <f>表1_[[#This Row],[年份]]+表1_[[#This Row],[行政区划]]</f>
        <v>652017</v>
      </c>
    </row>
    <row r="309" spans="1:5" x14ac:dyDescent="0.3">
      <c r="A309" t="s">
        <v>351</v>
      </c>
      <c r="B309">
        <v>2016</v>
      </c>
      <c r="C309">
        <v>4138.25</v>
      </c>
      <c r="D309">
        <f>VLOOKUP(表1_[[#This Row],[地区]],Sheet2!A:B,2,0)</f>
        <v>650000</v>
      </c>
      <c r="E309">
        <f>表1_[[#This Row],[年份]]+表1_[[#This Row],[行政区划]]</f>
        <v>652016</v>
      </c>
    </row>
    <row r="310" spans="1:5" x14ac:dyDescent="0.3">
      <c r="A310" t="s">
        <v>351</v>
      </c>
      <c r="B310">
        <v>2015</v>
      </c>
      <c r="C310">
        <v>3804.87</v>
      </c>
      <c r="D310">
        <f>VLOOKUP(表1_[[#This Row],[地区]],Sheet2!A:B,2,0)</f>
        <v>650000</v>
      </c>
      <c r="E310">
        <f>表1_[[#This Row],[年份]]+表1_[[#This Row],[行政区划]]</f>
        <v>652015</v>
      </c>
    </row>
    <row r="311" spans="1:5" x14ac:dyDescent="0.3">
      <c r="A311" t="s">
        <v>351</v>
      </c>
      <c r="B311">
        <v>2014</v>
      </c>
      <c r="C311">
        <v>3317.79</v>
      </c>
      <c r="D311">
        <f>VLOOKUP(表1_[[#This Row],[地区]],Sheet2!A:B,2,0)</f>
        <v>650000</v>
      </c>
      <c r="E31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D6CB-AE61-4B61-9508-37731BEF442B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356</v>
      </c>
      <c r="B1" s="4" t="s">
        <v>357</v>
      </c>
    </row>
    <row r="2" spans="1:2" x14ac:dyDescent="0.3">
      <c r="A2" s="4" t="s">
        <v>321</v>
      </c>
      <c r="B2" s="4">
        <v>110000</v>
      </c>
    </row>
    <row r="3" spans="1:2" x14ac:dyDescent="0.3">
      <c r="A3" s="4" t="s">
        <v>322</v>
      </c>
      <c r="B3" s="4">
        <v>120000</v>
      </c>
    </row>
    <row r="4" spans="1:2" x14ac:dyDescent="0.3">
      <c r="A4" s="4" t="s">
        <v>323</v>
      </c>
      <c r="B4" s="4">
        <v>130000</v>
      </c>
    </row>
    <row r="5" spans="1:2" x14ac:dyDescent="0.3">
      <c r="A5" s="4" t="s">
        <v>324</v>
      </c>
      <c r="B5" s="4">
        <v>140000</v>
      </c>
    </row>
    <row r="6" spans="1:2" x14ac:dyDescent="0.3">
      <c r="A6" s="4" t="s">
        <v>325</v>
      </c>
      <c r="B6" s="4">
        <v>150000</v>
      </c>
    </row>
    <row r="7" spans="1:2" x14ac:dyDescent="0.3">
      <c r="A7" s="4" t="s">
        <v>326</v>
      </c>
      <c r="B7" s="4">
        <v>210000</v>
      </c>
    </row>
    <row r="8" spans="1:2" x14ac:dyDescent="0.3">
      <c r="A8" s="4" t="s">
        <v>327</v>
      </c>
      <c r="B8" s="4">
        <v>220000</v>
      </c>
    </row>
    <row r="9" spans="1:2" x14ac:dyDescent="0.3">
      <c r="A9" s="4" t="s">
        <v>328</v>
      </c>
      <c r="B9" s="4">
        <v>230000</v>
      </c>
    </row>
    <row r="10" spans="1:2" x14ac:dyDescent="0.3">
      <c r="A10" s="4" t="s">
        <v>329</v>
      </c>
      <c r="B10" s="4">
        <v>310000</v>
      </c>
    </row>
    <row r="11" spans="1:2" x14ac:dyDescent="0.3">
      <c r="A11" s="4" t="s">
        <v>330</v>
      </c>
      <c r="B11" s="4">
        <v>320000</v>
      </c>
    </row>
    <row r="12" spans="1:2" x14ac:dyDescent="0.3">
      <c r="A12" s="4" t="s">
        <v>331</v>
      </c>
      <c r="B12" s="4">
        <v>330000</v>
      </c>
    </row>
    <row r="13" spans="1:2" x14ac:dyDescent="0.3">
      <c r="A13" s="4" t="s">
        <v>332</v>
      </c>
      <c r="B13" s="4">
        <v>340000</v>
      </c>
    </row>
    <row r="14" spans="1:2" x14ac:dyDescent="0.3">
      <c r="A14" s="4" t="s">
        <v>333</v>
      </c>
      <c r="B14" s="4">
        <v>350000</v>
      </c>
    </row>
    <row r="15" spans="1:2" x14ac:dyDescent="0.3">
      <c r="A15" s="4" t="s">
        <v>334</v>
      </c>
      <c r="B15" s="4">
        <v>360000</v>
      </c>
    </row>
    <row r="16" spans="1:2" x14ac:dyDescent="0.3">
      <c r="A16" s="4" t="s">
        <v>335</v>
      </c>
      <c r="B16" s="4">
        <v>370000</v>
      </c>
    </row>
    <row r="17" spans="1:2" x14ac:dyDescent="0.3">
      <c r="A17" s="4" t="s">
        <v>336</v>
      </c>
      <c r="B17" s="4">
        <v>410000</v>
      </c>
    </row>
    <row r="18" spans="1:2" x14ac:dyDescent="0.3">
      <c r="A18" s="4" t="s">
        <v>337</v>
      </c>
      <c r="B18" s="4">
        <v>420000</v>
      </c>
    </row>
    <row r="19" spans="1:2" x14ac:dyDescent="0.3">
      <c r="A19" s="4" t="s">
        <v>338</v>
      </c>
      <c r="B19" s="4">
        <v>430000</v>
      </c>
    </row>
    <row r="20" spans="1:2" x14ac:dyDescent="0.3">
      <c r="A20" s="4" t="s">
        <v>339</v>
      </c>
      <c r="B20" s="4">
        <v>440000</v>
      </c>
    </row>
    <row r="21" spans="1:2" x14ac:dyDescent="0.3">
      <c r="A21" s="4" t="s">
        <v>340</v>
      </c>
      <c r="B21" s="4">
        <v>450000</v>
      </c>
    </row>
    <row r="22" spans="1:2" x14ac:dyDescent="0.3">
      <c r="A22" s="4" t="s">
        <v>341</v>
      </c>
      <c r="B22" s="4">
        <v>460000</v>
      </c>
    </row>
    <row r="23" spans="1:2" x14ac:dyDescent="0.3">
      <c r="A23" s="4" t="s">
        <v>342</v>
      </c>
      <c r="B23" s="4">
        <v>500000</v>
      </c>
    </row>
    <row r="24" spans="1:2" x14ac:dyDescent="0.3">
      <c r="A24" s="4" t="s">
        <v>343</v>
      </c>
      <c r="B24" s="4">
        <v>510000</v>
      </c>
    </row>
    <row r="25" spans="1:2" x14ac:dyDescent="0.3">
      <c r="A25" s="4" t="s">
        <v>344</v>
      </c>
      <c r="B25" s="4">
        <v>520000</v>
      </c>
    </row>
    <row r="26" spans="1:2" x14ac:dyDescent="0.3">
      <c r="A26" s="4" t="s">
        <v>345</v>
      </c>
      <c r="B26" s="4">
        <v>530000</v>
      </c>
    </row>
    <row r="27" spans="1:2" x14ac:dyDescent="0.3">
      <c r="A27" s="4" t="s">
        <v>347</v>
      </c>
      <c r="B27" s="4">
        <v>610000</v>
      </c>
    </row>
    <row r="28" spans="1:2" x14ac:dyDescent="0.3">
      <c r="A28" s="4" t="s">
        <v>348</v>
      </c>
      <c r="B28" s="4">
        <v>620000</v>
      </c>
    </row>
    <row r="29" spans="1:2" x14ac:dyDescent="0.3">
      <c r="A29" s="4" t="s">
        <v>349</v>
      </c>
      <c r="B29" s="4">
        <v>630000</v>
      </c>
    </row>
    <row r="30" spans="1:2" x14ac:dyDescent="0.3">
      <c r="A30" s="4" t="s">
        <v>350</v>
      </c>
      <c r="B30" s="4">
        <v>640000</v>
      </c>
    </row>
    <row r="31" spans="1:2" x14ac:dyDescent="0.3">
      <c r="A31" s="4" t="s">
        <v>351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sqref="A1:K32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321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322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323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324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325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326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327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328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329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330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331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332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333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334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335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336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337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338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339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340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341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342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343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344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345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346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347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348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349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350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  <row r="32" spans="1:11" ht="20.55" customHeight="1" x14ac:dyDescent="0.3">
      <c r="A32" s="2" t="s">
        <v>351</v>
      </c>
      <c r="B32" s="3" t="s">
        <v>311</v>
      </c>
      <c r="C32" s="3" t="s">
        <v>312</v>
      </c>
      <c r="D32" s="3" t="s">
        <v>313</v>
      </c>
      <c r="E32" s="3" t="s">
        <v>314</v>
      </c>
      <c r="F32" s="3" t="s">
        <v>315</v>
      </c>
      <c r="G32" s="3" t="s">
        <v>316</v>
      </c>
      <c r="H32" s="3" t="s">
        <v>317</v>
      </c>
      <c r="I32" s="3" t="s">
        <v>318</v>
      </c>
      <c r="J32" s="3" t="s">
        <v>319</v>
      </c>
      <c r="K32" s="3" t="s">
        <v>320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5ED410-B91D-47CD-A454-084CFB5A3C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2026-04-15T13:52:37Z</dcterms:created>
  <dcterms:modified xsi:type="dcterms:W3CDTF">2026-04-16T14:33:37Z</dcterms:modified>
  <cp:category/>
</cp:coreProperties>
</file>
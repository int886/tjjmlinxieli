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9E20C6C-D74B-46D2-ACFA-224A9BA9D6FB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50EE22-8CD6-4D19-808A-1621DF30A92E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<sst xmlns="http://schemas.openxmlformats.org/spreadsheetml/2006/main" count="699" uniqueCount="353">
  <si>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</si>
  <si>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</si>
  <si>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</si>
  <si>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</si>
  <si>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</si>
  <si>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</si>
  <si>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</si>
  <si>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</si>
  <si>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</si>
  <si>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</si>
  <si>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</si>
  <si>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272.53</t>
  </si>
  <si>
    <t>197.39</t>
  </si>
  <si>
    <t>149.24</t>
  </si>
  <si>
    <t>167.15</t>
  </si>
  <si>
    <t>163.86</t>
  </si>
  <si>
    <t>231.69</t>
  </si>
  <si>
    <t>155.24</t>
  </si>
  <si>
    <t>194.67</t>
  </si>
  <si>
    <t>167.05</t>
  </si>
  <si>
    <t>158.59</t>
  </si>
  <si>
    <t>315.72</t>
  </si>
  <si>
    <t>249.42</t>
  </si>
  <si>
    <t>272.87</t>
  </si>
  <si>
    <t>285.64</t>
  </si>
  <si>
    <t>176.76</t>
  </si>
  <si>
    <t>173.85</t>
  </si>
  <si>
    <t>123.50</t>
  </si>
  <si>
    <t>220.80</t>
  </si>
  <si>
    <t>204.30</t>
  </si>
  <si>
    <t>183.10</t>
  </si>
  <si>
    <t>168.20</t>
  </si>
  <si>
    <t>163.68</t>
  </si>
  <si>
    <t>185.88</t>
  </si>
  <si>
    <t>95.48</t>
  </si>
  <si>
    <t>131.89</t>
  </si>
  <si>
    <t>121.15</t>
  </si>
  <si>
    <t>114.05</t>
  </si>
  <si>
    <t>125.35</t>
  </si>
  <si>
    <t>111.93</t>
  </si>
  <si>
    <t>104.13</t>
  </si>
  <si>
    <t>207.08</t>
  </si>
  <si>
    <t>141.47</t>
  </si>
  <si>
    <t>94.26</t>
  </si>
  <si>
    <t>97.07</t>
  </si>
  <si>
    <t>87.29</t>
  </si>
  <si>
    <t>89.62</t>
  </si>
  <si>
    <t>73.01</t>
  </si>
  <si>
    <t>60.55</t>
  </si>
  <si>
    <t>54.42</t>
  </si>
  <si>
    <t>49.60</t>
  </si>
  <si>
    <t>300.33</t>
  </si>
  <si>
    <t>257.22</t>
  </si>
  <si>
    <t>117.86</t>
  </si>
  <si>
    <t>146.59</t>
  </si>
  <si>
    <t>124.39</t>
  </si>
  <si>
    <t>80.38</t>
  </si>
  <si>
    <t>94.24</t>
  </si>
  <si>
    <t>94.92</t>
  </si>
  <si>
    <t>76.63</t>
  </si>
  <si>
    <t>92.09</t>
  </si>
  <si>
    <t>202.85</t>
  </si>
  <si>
    <t>178.81</t>
  </si>
  <si>
    <t>201.91</t>
  </si>
  <si>
    <t>162.54</t>
  </si>
  <si>
    <t>146.19</t>
  </si>
  <si>
    <t>169.62</t>
  </si>
  <si>
    <t>105.90</t>
  </si>
  <si>
    <t>94.34</t>
  </si>
  <si>
    <t>114.42</t>
  </si>
  <si>
    <t>225.32</t>
  </si>
  <si>
    <t>65.41</t>
  </si>
  <si>
    <t>62.28</t>
  </si>
  <si>
    <t>67.06</t>
  </si>
  <si>
    <t>64.94</t>
  </si>
  <si>
    <t>71.03</t>
  </si>
  <si>
    <t>81.07</t>
  </si>
  <si>
    <t>88.50</t>
  </si>
  <si>
    <t>125.81</t>
  </si>
  <si>
    <t>127.26</t>
  </si>
  <si>
    <t>99.58</t>
  </si>
  <si>
    <t>91.69</t>
  </si>
  <si>
    <t>83.23</t>
  </si>
  <si>
    <t>95.82</t>
  </si>
  <si>
    <t>103.58</t>
  </si>
  <si>
    <t>92.76</t>
  </si>
  <si>
    <t>90.18</t>
  </si>
  <si>
    <t>70.35</t>
  </si>
  <si>
    <t>81.99</t>
  </si>
  <si>
    <t>106.45</t>
  </si>
  <si>
    <t>91.34</t>
  </si>
  <si>
    <t>1303.08</t>
  </si>
  <si>
    <t>1002.86</t>
  </si>
  <si>
    <t>955.54</t>
  </si>
  <si>
    <t>968.18</t>
  </si>
  <si>
    <t>755.43</t>
  </si>
  <si>
    <t>618.09</t>
  </si>
  <si>
    <t>566.79</t>
  </si>
  <si>
    <t>558.64</t>
  </si>
  <si>
    <t>539.02</t>
  </si>
  <si>
    <t>468.20</t>
  </si>
  <si>
    <t>453.93</t>
  </si>
  <si>
    <t>433.42</t>
  </si>
  <si>
    <t>441.36</t>
  </si>
  <si>
    <t>308.11</t>
  </si>
  <si>
    <t>306.08</t>
  </si>
  <si>
    <t>322.91</t>
  </si>
  <si>
    <t>347.58</t>
  </si>
  <si>
    <t>437.26</t>
  </si>
  <si>
    <t>448.45</t>
  </si>
  <si>
    <t>364.33</t>
  </si>
  <si>
    <t>395.55</t>
  </si>
  <si>
    <t>403.63</t>
  </si>
  <si>
    <t>391.68</t>
  </si>
  <si>
    <t>312.91</t>
  </si>
  <si>
    <t>196.32</t>
  </si>
  <si>
    <t>215.71</t>
  </si>
  <si>
    <t>193.54</t>
  </si>
  <si>
    <t>191.01</t>
  </si>
  <si>
    <t>346.80</t>
  </si>
  <si>
    <t>191.68</t>
  </si>
  <si>
    <t>140.97</t>
  </si>
  <si>
    <t>172.67</t>
  </si>
  <si>
    <t>97.76</t>
  </si>
  <si>
    <t>115.30</t>
  </si>
  <si>
    <t>99.79</t>
  </si>
  <si>
    <t>103.91</t>
  </si>
  <si>
    <t>106.11</t>
  </si>
  <si>
    <t>157.36</t>
  </si>
  <si>
    <t>181.20</t>
  </si>
  <si>
    <t>150.93</t>
  </si>
  <si>
    <t>251.00</t>
  </si>
  <si>
    <t>239.78</t>
  </si>
  <si>
    <t>264.65</t>
  </si>
  <si>
    <t>254.90</t>
  </si>
  <si>
    <t>223.78</t>
  </si>
  <si>
    <t>173.44</t>
  </si>
  <si>
    <t>172.88</t>
  </si>
  <si>
    <t>175.39</t>
  </si>
  <si>
    <t>159.66</t>
  </si>
  <si>
    <t>177.75</t>
  </si>
  <si>
    <t>332.62</t>
  </si>
  <si>
    <t>316.83</t>
  </si>
  <si>
    <t>348.46</t>
  </si>
  <si>
    <t>253.98</t>
  </si>
  <si>
    <t>139.11</t>
  </si>
  <si>
    <t>166.85</t>
  </si>
  <si>
    <t>215.80</t>
  </si>
  <si>
    <t>258.33</t>
  </si>
  <si>
    <t>275.79</t>
  </si>
  <si>
    <t>244.38</t>
  </si>
  <si>
    <t>281.07</t>
  </si>
  <si>
    <t>255.50</t>
  </si>
  <si>
    <t>258.98</t>
  </si>
  <si>
    <t>259.47</t>
  </si>
  <si>
    <t>216.11</t>
  </si>
  <si>
    <t>226.88</t>
  </si>
  <si>
    <t>198.65</t>
  </si>
  <si>
    <t>239.05</t>
  </si>
  <si>
    <t>276.06</t>
  </si>
  <si>
    <t>255.98</t>
  </si>
  <si>
    <t>135.58</t>
  </si>
  <si>
    <t>132.21</t>
  </si>
  <si>
    <t>106.62</t>
  </si>
  <si>
    <t>110.95</t>
  </si>
  <si>
    <t>106.40</t>
  </si>
  <si>
    <t>119.67</t>
  </si>
  <si>
    <t>104.08</t>
  </si>
  <si>
    <t>120.86</t>
  </si>
  <si>
    <t>149.98</t>
  </si>
  <si>
    <t>117.62</t>
  </si>
  <si>
    <t>280.87</t>
  </si>
  <si>
    <t>248.74</t>
  </si>
  <si>
    <t>184.12</t>
  </si>
  <si>
    <t>167.48</t>
  </si>
  <si>
    <t>185.98</t>
  </si>
  <si>
    <t>124.61</t>
  </si>
  <si>
    <t>174.28</t>
  </si>
  <si>
    <t>209.94</t>
  </si>
  <si>
    <t>451.36</t>
  </si>
  <si>
    <t>221.62</t>
  </si>
  <si>
    <t>127.07</t>
  </si>
  <si>
    <t>153.85</t>
  </si>
  <si>
    <t>164.67</t>
  </si>
  <si>
    <t>156.29</t>
  </si>
  <si>
    <t>124.19</t>
  </si>
  <si>
    <t>158.72</t>
  </si>
  <si>
    <t>168.29</t>
  </si>
  <si>
    <t>188.45</t>
  </si>
  <si>
    <t>190.78</t>
  </si>
  <si>
    <t>159.69</t>
  </si>
  <si>
    <t>600.85</t>
  </si>
  <si>
    <t>606.41</t>
  </si>
  <si>
    <t>472.76</t>
  </si>
  <si>
    <t>413.58</t>
  </si>
  <si>
    <t>182.95</t>
  </si>
  <si>
    <t>316.27</t>
  </si>
  <si>
    <t>402.60</t>
  </si>
  <si>
    <t>772.96</t>
  </si>
  <si>
    <t>525.38</t>
  </si>
  <si>
    <t>275.37</t>
  </si>
  <si>
    <t>155.98</t>
  </si>
  <si>
    <t>200.77</t>
  </si>
  <si>
    <t>160.96</t>
  </si>
  <si>
    <t>153.27</t>
  </si>
  <si>
    <t>87.18</t>
  </si>
  <si>
    <t>70.45</t>
  </si>
  <si>
    <t>82.82</t>
  </si>
  <si>
    <t>113.55</t>
  </si>
  <si>
    <t>128.61</t>
  </si>
  <si>
    <t>119.58</t>
  </si>
  <si>
    <t>48.92</t>
  </si>
  <si>
    <t>44.94</t>
  </si>
  <si>
    <t>38.33</t>
  </si>
  <si>
    <t>34.92</t>
  </si>
  <si>
    <t>28.44</t>
  </si>
  <si>
    <t>31.79</t>
  </si>
  <si>
    <t>26.20</t>
  </si>
  <si>
    <t>24.77</t>
  </si>
  <si>
    <t>34.61</t>
  </si>
  <si>
    <t>31.86</t>
  </si>
  <si>
    <t>187.49</t>
  </si>
  <si>
    <t>153.33</t>
  </si>
  <si>
    <t>132.02</t>
  </si>
  <si>
    <t>134.22</t>
  </si>
  <si>
    <t>100.14</t>
  </si>
  <si>
    <t>101.65</t>
  </si>
  <si>
    <t>92.25</t>
  </si>
  <si>
    <t>143.64</t>
  </si>
  <si>
    <t>193.50</t>
  </si>
  <si>
    <t>147.66</t>
  </si>
  <si>
    <t>449.81</t>
  </si>
  <si>
    <t>363.68</t>
  </si>
  <si>
    <t>293.25</t>
  </si>
  <si>
    <t>298.12</t>
  </si>
  <si>
    <t>221.68</t>
  </si>
  <si>
    <t>298.58</t>
  </si>
  <si>
    <t>300.43</t>
  </si>
  <si>
    <t>263.80</t>
  </si>
  <si>
    <t>251.52</t>
  </si>
  <si>
    <t>201.50</t>
  </si>
  <si>
    <t>329.53</t>
  </si>
  <si>
    <t>327.35</t>
  </si>
  <si>
    <t>182.89</t>
  </si>
  <si>
    <t>149.56</t>
  </si>
  <si>
    <t>108.30</t>
  </si>
  <si>
    <t>89.49</t>
  </si>
  <si>
    <t>97.96</t>
  </si>
  <si>
    <t>123.76</t>
  </si>
  <si>
    <t>94.46</t>
  </si>
  <si>
    <t>85.82</t>
  </si>
  <si>
    <t>127.20</t>
  </si>
  <si>
    <t>99.41</t>
  </si>
  <si>
    <t>66.57</t>
  </si>
  <si>
    <t>76.28</t>
  </si>
  <si>
    <t>49.06</t>
  </si>
  <si>
    <t>64.92</t>
  </si>
  <si>
    <t>62.47</t>
  </si>
  <si>
    <t>87.16</t>
  </si>
  <si>
    <t>110.19</t>
  </si>
  <si>
    <t>78.92</t>
  </si>
  <si>
    <t>77.12</t>
  </si>
  <si>
    <t>71.84</t>
  </si>
  <si>
    <t>61.27</t>
  </si>
  <si>
    <t>68.81</t>
  </si>
  <si>
    <t>59.73</t>
  </si>
  <si>
    <t>48.53</t>
  </si>
  <si>
    <t>62.07</t>
  </si>
  <si>
    <t>45.63</t>
  </si>
  <si>
    <t>32.92</t>
  </si>
  <si>
    <t>56.73</t>
  </si>
  <si>
    <t>206.88</t>
  </si>
  <si>
    <t>192.74</t>
  </si>
  <si>
    <t>129.93</t>
  </si>
  <si>
    <t>117.60</t>
  </si>
  <si>
    <t>89.67</t>
  </si>
  <si>
    <t>90.33</t>
  </si>
  <si>
    <t>93.46</t>
  </si>
  <si>
    <t>107.44</t>
  </si>
  <si>
    <t>107.30</t>
  </si>
  <si>
    <t>95.12</t>
  </si>
  <si>
    <t>63.25</t>
  </si>
  <si>
    <t>49.09</t>
  </si>
  <si>
    <t>65.05</t>
  </si>
  <si>
    <t>33.04</t>
  </si>
  <si>
    <t>60.10</t>
  </si>
  <si>
    <t>69.98</t>
  </si>
  <si>
    <t>47.73</t>
  </si>
  <si>
    <t>43.40</t>
  </si>
  <si>
    <t>63.08</t>
  </si>
  <si>
    <t>46.10</t>
  </si>
  <si>
    <t>36.71</t>
  </si>
  <si>
    <t>43.56</t>
  </si>
  <si>
    <t>37.83</t>
  </si>
  <si>
    <t>36.35</t>
  </si>
  <si>
    <t>49.58</t>
  </si>
  <si>
    <t>55.47</t>
  </si>
  <si>
    <t>56.31</t>
  </si>
  <si>
    <t>45.49</t>
  </si>
  <si>
    <t>31.55</t>
  </si>
  <si>
    <t>39.54</t>
  </si>
  <si>
    <t>48.60</t>
  </si>
  <si>
    <t>61.82</t>
  </si>
  <si>
    <t>37.93</t>
  </si>
  <si>
    <t>45.17</t>
  </si>
  <si>
    <t>33.96</t>
  </si>
  <si>
    <t>28.22</t>
  </si>
  <si>
    <t>29.78</t>
  </si>
  <si>
    <t>161.22</t>
  </si>
  <si>
    <t>178.21</t>
  </si>
  <si>
    <t>169.46</t>
  </si>
  <si>
    <t>146.22</t>
  </si>
  <si>
    <t>178.71</t>
  </si>
  <si>
    <t>236.52</t>
  </si>
  <si>
    <t>72.11</t>
  </si>
  <si>
    <t>56.75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</si>
  <si>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</si>
  <si>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</si>
  <si>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</si>
  <si>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</si>
  <si>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</si>
  <si>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</si>
  <si>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</si>
  <si>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</si>
  <si>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</si>
  <si>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</si>
  <si>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</si>
  <si>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</si>
  <si>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</si>
  <si>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</si>
  <si>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</si>
  <si>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</si>
  <si>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</si>
  <si>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</si>
  <si>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</si>
  <si>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</si>
  <si>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</si>
  <si>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</si>
  <si>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</si>
  <si>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</si>
  <si>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</si>
  <si>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</si>
  <si>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</si>
  <si>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</si>
  <si>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</si>
  <si>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</si>
  <si>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</si>
  <si>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地方财政资源勘探电力信息等事务支出 (亿元)</t>
    <phoneticPr fontId="2" type="noConversion"/>
  </si>
  <si>
    <t>行政区划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</si>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</sst>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96B7B2-B99A-4AC9-811E-D7B5AEF4A8A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FBE460-8323-433B-BCEA-02C53BC51B84}" name="表1_" displayName="表1_" ref="A1:E311" tableType="queryTable" totalsRowShown="0">
  <autoFilter ref="A1:E311" xr:uid="{A6FBE460-8323-433B-BCEA-02C53BC51B84}"/>
  <tableColumns count="5">
    <tableColumn id="1" xr3:uid="{89103666-2694-4E05-8B8A-165AF8083B88}" uniqueName="1" name="地区" queryTableFieldId="1"/>
    <tableColumn id="2" xr3:uid="{DF17F38A-29D9-48DD-8CF8-657FCA235CA2}" uniqueName="2" name="年份" queryTableFieldId="2"/>
    <tableColumn id="3" xr3:uid="{7FAAEAA1-B40C-467E-B180-59FF26072A99}" uniqueName="3" name="地方财政资源勘探电力信息等事务支出 (亿元)" queryTableFieldId="3"/>
    <tableColumn id="4" xr3:uid="{1FA0EB59-3161-4592-A83F-E7F8AB296ACC}" uniqueName="4" name="行政区划" queryTableFieldId="4" dataDxfId="1">
      <calculatedColumnFormula>VLOOKUP(表1_[[#This Row],[地区]],Sheet2!A:B,2,0)</calculatedColumnFormula>
    </tableColumn>
    <tableColumn id="5" xr3:uid="{C0DDF2FE-A85E-4CD8-9F0C-BF0676B81728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C2BAD-5207-4DA0-AF87-1731055B002D}" name="表1" displayName="表1" ref="A1:K32" totalsRowShown="0" headerRowDxfId="2" dataDxfId="3">
  <autoFilter ref="A1:K32" xr:uid="{F69C2BAD-5207-4DA0-AF87-1731055B002D}"/>
  <tableColumns count="11">
    <tableColumn id="1" xr3:uid="{776A504C-BF16-4448-AF74-69CE231A6FC5}" name="地区" dataDxfId="14"/>
    <tableColumn id="2" xr3:uid="{76B582A8-E167-4673-AB51-1A2BA8302F31}" name="2023年" dataDxfId="13"/>
    <tableColumn id="3" xr3:uid="{7870CE20-D04B-4FED-82F8-982EAA746C4F}" name="2022年" dataDxfId="12"/>
    <tableColumn id="4" xr3:uid="{F58CE7BF-82AA-4D9E-AD79-69BE7CA3F9A7}" name="2021年" dataDxfId="11"/>
    <tableColumn id="5" xr3:uid="{4F8B6604-6BDD-4B3B-B14C-D8A1FC4BF0ED}" name="2020年" dataDxfId="10"/>
    <tableColumn id="6" xr3:uid="{671AEBEF-A540-4AEC-AF03-9C4583FB5AC4}" name="2019年" dataDxfId="9"/>
    <tableColumn id="7" xr3:uid="{B64BC4EA-61AB-4988-B760-6615F46EDF52}" name="2018年" dataDxfId="8"/>
    <tableColumn id="8" xr3:uid="{32E3CF9F-3502-4280-A1CE-FFB1F7115C46}" name="2017年" dataDxfId="7"/>
    <tableColumn id="9" xr3:uid="{F20F7E1B-D969-4216-BD9B-B41A3A8EDBA3}" name="2016年" dataDxfId="6"/>
    <tableColumn id="10" xr3:uid="{E77D6012-62EF-473C-989F-F503E5D49277}" name="2015年" dataDxfId="5"/>
    <tableColumn id="11" xr3:uid="{F47FBA5D-21CD-4069-8837-5A1119E099BC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F39C-E08B-42E0-B2E0-B859557E4211}">
  <dimension ref="A1:E311"/>
  <sheetViews>
    <sheetView tabSelected="1" workbookViewId="0">
      <selection activeCell="C8" sqref="C8"/>
    </sheetView>
  </sheetViews>
  <sheetFormatPr defaultRowHeight="13.5" x14ac:dyDescent="0.3"/>
  <cols>
    <col min="1" max="2" width="7.265625" bestFit="1" customWidth="1"/>
    <col min="3" max="3" width="48.06640625" customWidth="1"/>
    <col min="4" max="4" width="11.73046875" customWidth="1"/>
  </cols>
  <sheetData>
    <row r="1" spans="1:5" x14ac:dyDescent="0.3">
      <c r="A1" t="s">
        <v>0</v>
      </c>
      <c r="B1" t="s">
        <v>352</v>
      </c>
      <c r="C1" t="s">
        <v>347</v>
      </c>
      <c r="D1" t="s">
        <v>348</v>
      </c>
      <c r="E1" t="s">
        <v>349</v>
      </c>
    </row>
    <row r="2" spans="1:5" x14ac:dyDescent="0.3">
      <c r="A2" t="s">
        <v>316</v>
      </c>
      <c r="B2">
        <v>2023</v>
      </c>
      <c r="C2">
        <v>272.52999999999997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316</v>
      </c>
      <c r="B3">
        <v>2022</v>
      </c>
      <c r="C3">
        <v>197.39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316</v>
      </c>
      <c r="B4">
        <v>2021</v>
      </c>
      <c r="C4">
        <v>149.24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316</v>
      </c>
      <c r="B5">
        <v>2020</v>
      </c>
      <c r="C5">
        <v>167.15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316</v>
      </c>
      <c r="B6">
        <v>2019</v>
      </c>
      <c r="C6">
        <v>163.86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316</v>
      </c>
      <c r="B7">
        <v>2018</v>
      </c>
      <c r="C7">
        <v>231.69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316</v>
      </c>
      <c r="B8">
        <v>2017</v>
      </c>
      <c r="C8">
        <v>155.24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316</v>
      </c>
      <c r="B9">
        <v>2016</v>
      </c>
      <c r="C9">
        <v>194.67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316</v>
      </c>
      <c r="B10">
        <v>2015</v>
      </c>
      <c r="C10">
        <v>167.05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316</v>
      </c>
      <c r="B11">
        <v>2014</v>
      </c>
      <c r="C11">
        <v>158.59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317</v>
      </c>
      <c r="B12">
        <v>2023</v>
      </c>
      <c r="C12">
        <v>315.72000000000003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317</v>
      </c>
      <c r="B13">
        <v>2022</v>
      </c>
      <c r="C13">
        <v>249.42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317</v>
      </c>
      <c r="B14">
        <v>2021</v>
      </c>
      <c r="C14">
        <v>272.87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317</v>
      </c>
      <c r="B15">
        <v>2020</v>
      </c>
      <c r="C15">
        <v>285.64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317</v>
      </c>
      <c r="B16">
        <v>2019</v>
      </c>
      <c r="C16">
        <v>176.76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317</v>
      </c>
      <c r="B17">
        <v>2018</v>
      </c>
      <c r="C17">
        <v>173.85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317</v>
      </c>
      <c r="B18">
        <v>2017</v>
      </c>
      <c r="C18">
        <v>123.5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317</v>
      </c>
      <c r="B19">
        <v>2016</v>
      </c>
      <c r="C19">
        <v>220.8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317</v>
      </c>
      <c r="B20">
        <v>2015</v>
      </c>
      <c r="C20">
        <v>204.3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317</v>
      </c>
      <c r="B21">
        <v>2014</v>
      </c>
      <c r="C21">
        <v>183.1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318</v>
      </c>
      <c r="B22">
        <v>2023</v>
      </c>
      <c r="C22">
        <v>168.2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318</v>
      </c>
      <c r="B23">
        <v>2022</v>
      </c>
      <c r="C23">
        <v>163.68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318</v>
      </c>
      <c r="B24">
        <v>2021</v>
      </c>
      <c r="C24">
        <v>185.88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318</v>
      </c>
      <c r="B25">
        <v>2020</v>
      </c>
      <c r="C25">
        <v>95.48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318</v>
      </c>
      <c r="B26">
        <v>2019</v>
      </c>
      <c r="C26">
        <v>131.88999999999999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318</v>
      </c>
      <c r="B27">
        <v>2018</v>
      </c>
      <c r="C27">
        <v>121.15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318</v>
      </c>
      <c r="B28">
        <v>2017</v>
      </c>
      <c r="C28">
        <v>114.05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318</v>
      </c>
      <c r="B29">
        <v>2016</v>
      </c>
      <c r="C29">
        <v>125.35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318</v>
      </c>
      <c r="B30">
        <v>2015</v>
      </c>
      <c r="C30">
        <v>111.93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318</v>
      </c>
      <c r="B31">
        <v>2014</v>
      </c>
      <c r="C31">
        <v>104.13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319</v>
      </c>
      <c r="B32">
        <v>2023</v>
      </c>
      <c r="C32">
        <v>207.08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319</v>
      </c>
      <c r="B33">
        <v>2022</v>
      </c>
      <c r="C33">
        <v>141.47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319</v>
      </c>
      <c r="B34">
        <v>2021</v>
      </c>
      <c r="C34">
        <v>94.26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319</v>
      </c>
      <c r="B35">
        <v>2020</v>
      </c>
      <c r="C35">
        <v>97.07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319</v>
      </c>
      <c r="B36">
        <v>2019</v>
      </c>
      <c r="C36">
        <v>87.29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319</v>
      </c>
      <c r="B37">
        <v>2018</v>
      </c>
      <c r="C37">
        <v>89.62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319</v>
      </c>
      <c r="B38">
        <v>2017</v>
      </c>
      <c r="C38">
        <v>73.010000000000005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319</v>
      </c>
      <c r="B39">
        <v>2016</v>
      </c>
      <c r="C39">
        <v>60.55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319</v>
      </c>
      <c r="B40">
        <v>2015</v>
      </c>
      <c r="C40">
        <v>54.42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319</v>
      </c>
      <c r="B41">
        <v>2014</v>
      </c>
      <c r="C41">
        <v>49.6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320</v>
      </c>
      <c r="B42">
        <v>2023</v>
      </c>
      <c r="C42">
        <v>300.33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320</v>
      </c>
      <c r="B43">
        <v>2022</v>
      </c>
      <c r="C43">
        <v>257.22000000000003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320</v>
      </c>
      <c r="B44">
        <v>2021</v>
      </c>
      <c r="C44">
        <v>117.86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320</v>
      </c>
      <c r="B45">
        <v>2020</v>
      </c>
      <c r="C45">
        <v>146.59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320</v>
      </c>
      <c r="B46">
        <v>2019</v>
      </c>
      <c r="C46">
        <v>124.39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320</v>
      </c>
      <c r="B47">
        <v>2018</v>
      </c>
      <c r="C47">
        <v>80.38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320</v>
      </c>
      <c r="B48">
        <v>2017</v>
      </c>
      <c r="C48">
        <v>94.24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320</v>
      </c>
      <c r="B49">
        <v>2016</v>
      </c>
      <c r="C49">
        <v>94.92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320</v>
      </c>
      <c r="B50">
        <v>2015</v>
      </c>
      <c r="C50">
        <v>76.63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320</v>
      </c>
      <c r="B51">
        <v>2014</v>
      </c>
      <c r="C51">
        <v>92.09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321</v>
      </c>
      <c r="B52">
        <v>2023</v>
      </c>
      <c r="C52">
        <v>202.85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321</v>
      </c>
      <c r="B53">
        <v>2022</v>
      </c>
      <c r="C53">
        <v>178.81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321</v>
      </c>
      <c r="B54">
        <v>2021</v>
      </c>
      <c r="C54">
        <v>201.91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321</v>
      </c>
      <c r="B55">
        <v>2020</v>
      </c>
      <c r="C55">
        <v>162.54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321</v>
      </c>
      <c r="B56">
        <v>2019</v>
      </c>
      <c r="C56">
        <v>146.19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321</v>
      </c>
      <c r="B57">
        <v>2018</v>
      </c>
      <c r="C57">
        <v>169.62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321</v>
      </c>
      <c r="B58">
        <v>2017</v>
      </c>
      <c r="C58">
        <v>105.9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321</v>
      </c>
      <c r="B59">
        <v>2016</v>
      </c>
      <c r="C59">
        <v>94.34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321</v>
      </c>
      <c r="B60">
        <v>2015</v>
      </c>
      <c r="C60">
        <v>114.42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321</v>
      </c>
      <c r="B61">
        <v>2014</v>
      </c>
      <c r="C61">
        <v>225.32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322</v>
      </c>
      <c r="B62">
        <v>2023</v>
      </c>
      <c r="C62">
        <v>65.41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322</v>
      </c>
      <c r="B63">
        <v>2022</v>
      </c>
      <c r="C63">
        <v>62.28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322</v>
      </c>
      <c r="B64">
        <v>2021</v>
      </c>
      <c r="C64">
        <v>67.06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322</v>
      </c>
      <c r="B65">
        <v>2020</v>
      </c>
      <c r="C65">
        <v>64.94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322</v>
      </c>
      <c r="B66">
        <v>2019</v>
      </c>
      <c r="C66">
        <v>71.03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322</v>
      </c>
      <c r="B67">
        <v>2018</v>
      </c>
      <c r="C67">
        <v>81.069999999999993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322</v>
      </c>
      <c r="B68">
        <v>2017</v>
      </c>
      <c r="C68">
        <v>88.5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322</v>
      </c>
      <c r="B69">
        <v>2016</v>
      </c>
      <c r="C69">
        <v>125.81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322</v>
      </c>
      <c r="B70">
        <v>2015</v>
      </c>
      <c r="C70">
        <v>127.26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322</v>
      </c>
      <c r="B71">
        <v>2014</v>
      </c>
      <c r="C71">
        <v>99.58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323</v>
      </c>
      <c r="B72">
        <v>2023</v>
      </c>
      <c r="C72">
        <v>91.69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323</v>
      </c>
      <c r="B73">
        <v>2022</v>
      </c>
      <c r="C73">
        <v>83.23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323</v>
      </c>
      <c r="B74">
        <v>2021</v>
      </c>
      <c r="C74">
        <v>95.82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323</v>
      </c>
      <c r="B75">
        <v>2020</v>
      </c>
      <c r="C75">
        <v>103.58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323</v>
      </c>
      <c r="B76">
        <v>2019</v>
      </c>
      <c r="C76">
        <v>92.76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323</v>
      </c>
      <c r="B77">
        <v>2018</v>
      </c>
      <c r="C77">
        <v>90.18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323</v>
      </c>
      <c r="B78">
        <v>2017</v>
      </c>
      <c r="C78">
        <v>70.349999999999994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323</v>
      </c>
      <c r="B79">
        <v>2016</v>
      </c>
      <c r="C79">
        <v>81.99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323</v>
      </c>
      <c r="B80">
        <v>2015</v>
      </c>
      <c r="C80">
        <v>106.45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323</v>
      </c>
      <c r="B81">
        <v>2014</v>
      </c>
      <c r="C81">
        <v>91.34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324</v>
      </c>
      <c r="B82">
        <v>2023</v>
      </c>
      <c r="C82">
        <v>1303.08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324</v>
      </c>
      <c r="B83">
        <v>2022</v>
      </c>
      <c r="C83">
        <v>1002.86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324</v>
      </c>
      <c r="B84">
        <v>2021</v>
      </c>
      <c r="C84">
        <v>955.54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324</v>
      </c>
      <c r="B85">
        <v>2020</v>
      </c>
      <c r="C85">
        <v>968.18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324</v>
      </c>
      <c r="B86">
        <v>2019</v>
      </c>
      <c r="C86">
        <v>755.43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324</v>
      </c>
      <c r="B87">
        <v>2018</v>
      </c>
      <c r="C87">
        <v>618.09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324</v>
      </c>
      <c r="B88">
        <v>2017</v>
      </c>
      <c r="C88">
        <v>566.79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324</v>
      </c>
      <c r="B89">
        <v>2016</v>
      </c>
      <c r="C89">
        <v>558.64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324</v>
      </c>
      <c r="B90">
        <v>2015</v>
      </c>
      <c r="C90">
        <v>539.02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324</v>
      </c>
      <c r="B91">
        <v>2014</v>
      </c>
      <c r="C91">
        <v>468.2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325</v>
      </c>
      <c r="B92">
        <v>2023</v>
      </c>
      <c r="C92">
        <v>453.93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325</v>
      </c>
      <c r="B93">
        <v>2022</v>
      </c>
      <c r="C93">
        <v>433.42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325</v>
      </c>
      <c r="B94">
        <v>2021</v>
      </c>
      <c r="C94">
        <v>441.36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325</v>
      </c>
      <c r="B95">
        <v>2020</v>
      </c>
      <c r="C95">
        <v>308.11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325</v>
      </c>
      <c r="B96">
        <v>2019</v>
      </c>
      <c r="C96">
        <v>306.08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325</v>
      </c>
      <c r="B97">
        <v>2018</v>
      </c>
      <c r="C97">
        <v>322.91000000000003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325</v>
      </c>
      <c r="B98">
        <v>2017</v>
      </c>
      <c r="C98">
        <v>347.58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325</v>
      </c>
      <c r="B99">
        <v>2016</v>
      </c>
      <c r="C99">
        <v>437.26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325</v>
      </c>
      <c r="B100">
        <v>2015</v>
      </c>
      <c r="C100">
        <v>448.45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325</v>
      </c>
      <c r="B101">
        <v>2014</v>
      </c>
      <c r="C101">
        <v>364.33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326</v>
      </c>
      <c r="B102">
        <v>2023</v>
      </c>
      <c r="C102">
        <v>395.55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326</v>
      </c>
      <c r="B103">
        <v>2022</v>
      </c>
      <c r="C103">
        <v>403.63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326</v>
      </c>
      <c r="B104">
        <v>2021</v>
      </c>
      <c r="C104">
        <v>391.68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326</v>
      </c>
      <c r="B105">
        <v>2020</v>
      </c>
      <c r="C105">
        <v>312.91000000000003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326</v>
      </c>
      <c r="B106">
        <v>2019</v>
      </c>
      <c r="C106">
        <v>196.32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326</v>
      </c>
      <c r="B107">
        <v>2018</v>
      </c>
      <c r="C107">
        <v>215.71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326</v>
      </c>
      <c r="B108">
        <v>2017</v>
      </c>
      <c r="C108">
        <v>193.54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326</v>
      </c>
      <c r="B109">
        <v>2016</v>
      </c>
      <c r="C109">
        <v>191.01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326</v>
      </c>
      <c r="B110">
        <v>2015</v>
      </c>
      <c r="C110">
        <v>346.8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326</v>
      </c>
      <c r="B111">
        <v>2014</v>
      </c>
      <c r="C111">
        <v>191.68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327</v>
      </c>
      <c r="B112">
        <v>2023</v>
      </c>
      <c r="C112">
        <v>140.97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327</v>
      </c>
      <c r="B113">
        <v>2022</v>
      </c>
      <c r="C113">
        <v>172.67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327</v>
      </c>
      <c r="B114">
        <v>2021</v>
      </c>
      <c r="C114">
        <v>97.76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327</v>
      </c>
      <c r="B115">
        <v>2020</v>
      </c>
      <c r="C115">
        <v>115.3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327</v>
      </c>
      <c r="B116">
        <v>2019</v>
      </c>
      <c r="C116">
        <v>99.79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327</v>
      </c>
      <c r="B117">
        <v>2018</v>
      </c>
      <c r="C117">
        <v>103.91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327</v>
      </c>
      <c r="B118">
        <v>2017</v>
      </c>
      <c r="C118">
        <v>106.11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327</v>
      </c>
      <c r="B119">
        <v>2016</v>
      </c>
      <c r="C119">
        <v>157.36000000000001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327</v>
      </c>
      <c r="B120">
        <v>2015</v>
      </c>
      <c r="C120">
        <v>181.2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327</v>
      </c>
      <c r="B121">
        <v>2014</v>
      </c>
      <c r="C121">
        <v>150.93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328</v>
      </c>
      <c r="B122">
        <v>2023</v>
      </c>
      <c r="C122">
        <v>251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328</v>
      </c>
      <c r="B123">
        <v>2022</v>
      </c>
      <c r="C123">
        <v>239.78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328</v>
      </c>
      <c r="B124">
        <v>2021</v>
      </c>
      <c r="C124">
        <v>264.64999999999998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328</v>
      </c>
      <c r="B125">
        <v>2020</v>
      </c>
      <c r="C125">
        <v>254.9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328</v>
      </c>
      <c r="B126">
        <v>2019</v>
      </c>
      <c r="C126">
        <v>223.78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328</v>
      </c>
      <c r="B127">
        <v>2018</v>
      </c>
      <c r="C127">
        <v>173.44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328</v>
      </c>
      <c r="B128">
        <v>2017</v>
      </c>
      <c r="C128">
        <v>172.88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328</v>
      </c>
      <c r="B129">
        <v>2016</v>
      </c>
      <c r="C129">
        <v>175.39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328</v>
      </c>
      <c r="B130">
        <v>2015</v>
      </c>
      <c r="C130">
        <v>159.66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328</v>
      </c>
      <c r="B131">
        <v>2014</v>
      </c>
      <c r="C131">
        <v>177.75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329</v>
      </c>
      <c r="B132">
        <v>2023</v>
      </c>
      <c r="C132">
        <v>332.62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329</v>
      </c>
      <c r="B133">
        <v>2022</v>
      </c>
      <c r="C133">
        <v>316.83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329</v>
      </c>
      <c r="B134">
        <v>2021</v>
      </c>
      <c r="C134">
        <v>348.46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329</v>
      </c>
      <c r="B135">
        <v>2020</v>
      </c>
      <c r="C135">
        <v>253.98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329</v>
      </c>
      <c r="B136">
        <v>2019</v>
      </c>
      <c r="C136">
        <v>139.11000000000001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329</v>
      </c>
      <c r="B137">
        <v>2018</v>
      </c>
      <c r="C137">
        <v>166.85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329</v>
      </c>
      <c r="B138">
        <v>2017</v>
      </c>
      <c r="C138">
        <v>215.8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329</v>
      </c>
      <c r="B139">
        <v>2016</v>
      </c>
      <c r="C139">
        <v>258.33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329</v>
      </c>
      <c r="B140">
        <v>2015</v>
      </c>
      <c r="C140">
        <v>275.79000000000002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329</v>
      </c>
      <c r="B141">
        <v>2014</v>
      </c>
      <c r="C141">
        <v>244.38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330</v>
      </c>
      <c r="B142">
        <v>2023</v>
      </c>
      <c r="C142">
        <v>281.07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330</v>
      </c>
      <c r="B143">
        <v>2022</v>
      </c>
      <c r="C143">
        <v>255.5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330</v>
      </c>
      <c r="B144">
        <v>2021</v>
      </c>
      <c r="C144">
        <v>258.98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330</v>
      </c>
      <c r="B145">
        <v>2020</v>
      </c>
      <c r="C145">
        <v>259.47000000000003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330</v>
      </c>
      <c r="B146">
        <v>2019</v>
      </c>
      <c r="C146">
        <v>216.11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330</v>
      </c>
      <c r="B147">
        <v>2018</v>
      </c>
      <c r="C147">
        <v>226.88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330</v>
      </c>
      <c r="B148">
        <v>2017</v>
      </c>
      <c r="C148">
        <v>198.65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330</v>
      </c>
      <c r="B149">
        <v>2016</v>
      </c>
      <c r="C149">
        <v>239.05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330</v>
      </c>
      <c r="B150">
        <v>2015</v>
      </c>
      <c r="C150">
        <v>276.06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330</v>
      </c>
      <c r="B151">
        <v>2014</v>
      </c>
      <c r="C151">
        <v>255.98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331</v>
      </c>
      <c r="B152">
        <v>2023</v>
      </c>
      <c r="C152">
        <v>135.58000000000001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331</v>
      </c>
      <c r="B153">
        <v>2022</v>
      </c>
      <c r="C153">
        <v>132.21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331</v>
      </c>
      <c r="B154">
        <v>2021</v>
      </c>
      <c r="C154">
        <v>106.62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331</v>
      </c>
      <c r="B155">
        <v>2020</v>
      </c>
      <c r="C155">
        <v>110.95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331</v>
      </c>
      <c r="B156">
        <v>2019</v>
      </c>
      <c r="C156">
        <v>106.4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331</v>
      </c>
      <c r="B157">
        <v>2018</v>
      </c>
      <c r="C157">
        <v>119.67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331</v>
      </c>
      <c r="B158">
        <v>2017</v>
      </c>
      <c r="C158">
        <v>104.08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331</v>
      </c>
      <c r="B159">
        <v>2016</v>
      </c>
      <c r="C159">
        <v>120.86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331</v>
      </c>
      <c r="B160">
        <v>2015</v>
      </c>
      <c r="C160">
        <v>149.97999999999999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331</v>
      </c>
      <c r="B161">
        <v>2014</v>
      </c>
      <c r="C161">
        <v>117.62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332</v>
      </c>
      <c r="B162">
        <v>2023</v>
      </c>
      <c r="C162">
        <v>280.87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332</v>
      </c>
      <c r="B163">
        <v>2022</v>
      </c>
      <c r="C163">
        <v>248.74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332</v>
      </c>
      <c r="B164">
        <v>2021</v>
      </c>
      <c r="C164">
        <v>184.12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332</v>
      </c>
      <c r="B165">
        <v>2020</v>
      </c>
      <c r="C165">
        <v>167.48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332</v>
      </c>
      <c r="B166">
        <v>2019</v>
      </c>
      <c r="C166">
        <v>185.98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332</v>
      </c>
      <c r="B167">
        <v>2018</v>
      </c>
      <c r="C167">
        <v>124.61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332</v>
      </c>
      <c r="B168">
        <v>2017</v>
      </c>
      <c r="C168">
        <v>174.28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332</v>
      </c>
      <c r="B169">
        <v>2016</v>
      </c>
      <c r="C169">
        <v>209.94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332</v>
      </c>
      <c r="B170">
        <v>2015</v>
      </c>
      <c r="C170">
        <v>451.36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332</v>
      </c>
      <c r="B171">
        <v>2014</v>
      </c>
      <c r="C171">
        <v>221.62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333</v>
      </c>
      <c r="B172">
        <v>2023</v>
      </c>
      <c r="C172">
        <v>127.07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333</v>
      </c>
      <c r="B173">
        <v>2022</v>
      </c>
      <c r="C173">
        <v>153.85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333</v>
      </c>
      <c r="B174">
        <v>2021</v>
      </c>
      <c r="C174">
        <v>164.67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333</v>
      </c>
      <c r="B175">
        <v>2020</v>
      </c>
      <c r="C175">
        <v>156.29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333</v>
      </c>
      <c r="B176">
        <v>2019</v>
      </c>
      <c r="C176">
        <v>124.19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333</v>
      </c>
      <c r="B177">
        <v>2018</v>
      </c>
      <c r="C177">
        <v>158.72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333</v>
      </c>
      <c r="B178">
        <v>2017</v>
      </c>
      <c r="C178">
        <v>168.29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333</v>
      </c>
      <c r="B179">
        <v>2016</v>
      </c>
      <c r="C179">
        <v>188.45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333</v>
      </c>
      <c r="B180">
        <v>2015</v>
      </c>
      <c r="C180">
        <v>190.78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333</v>
      </c>
      <c r="B181">
        <v>2014</v>
      </c>
      <c r="C181">
        <v>159.69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334</v>
      </c>
      <c r="B182">
        <v>2023</v>
      </c>
      <c r="C182">
        <v>600.85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334</v>
      </c>
      <c r="B183">
        <v>2022</v>
      </c>
      <c r="C183">
        <v>606.41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334</v>
      </c>
      <c r="B184">
        <v>2021</v>
      </c>
      <c r="C184">
        <v>472.76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334</v>
      </c>
      <c r="B185">
        <v>2020</v>
      </c>
      <c r="C185">
        <v>413.58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334</v>
      </c>
      <c r="B186">
        <v>2019</v>
      </c>
      <c r="C186">
        <v>182.95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334</v>
      </c>
      <c r="B187">
        <v>2018</v>
      </c>
      <c r="C187">
        <v>316.27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334</v>
      </c>
      <c r="B188">
        <v>2017</v>
      </c>
      <c r="C188">
        <v>402.6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334</v>
      </c>
      <c r="B189">
        <v>2016</v>
      </c>
      <c r="C189">
        <v>772.96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334</v>
      </c>
      <c r="B190">
        <v>2015</v>
      </c>
      <c r="C190">
        <v>525.38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334</v>
      </c>
      <c r="B191">
        <v>2014</v>
      </c>
      <c r="C191">
        <v>275.37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335</v>
      </c>
      <c r="B192">
        <v>2023</v>
      </c>
      <c r="C192">
        <v>155.97999999999999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335</v>
      </c>
      <c r="B193">
        <v>2022</v>
      </c>
      <c r="C193">
        <v>200.77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335</v>
      </c>
      <c r="B194">
        <v>2021</v>
      </c>
      <c r="C194">
        <v>160.96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335</v>
      </c>
      <c r="B195">
        <v>2020</v>
      </c>
      <c r="C195">
        <v>153.27000000000001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335</v>
      </c>
      <c r="B196">
        <v>2019</v>
      </c>
      <c r="C196">
        <v>87.18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335</v>
      </c>
      <c r="B197">
        <v>2018</v>
      </c>
      <c r="C197">
        <v>70.45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335</v>
      </c>
      <c r="B198">
        <v>2017</v>
      </c>
      <c r="C198">
        <v>82.82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335</v>
      </c>
      <c r="B199">
        <v>2016</v>
      </c>
      <c r="C199">
        <v>113.55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335</v>
      </c>
      <c r="B200">
        <v>2015</v>
      </c>
      <c r="C200">
        <v>128.61000000000001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335</v>
      </c>
      <c r="B201">
        <v>2014</v>
      </c>
      <c r="C201">
        <v>119.58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336</v>
      </c>
      <c r="B202">
        <v>2023</v>
      </c>
      <c r="C202">
        <v>48.92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336</v>
      </c>
      <c r="B203">
        <v>2022</v>
      </c>
      <c r="C203">
        <v>44.94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336</v>
      </c>
      <c r="B204">
        <v>2021</v>
      </c>
      <c r="C204">
        <v>38.33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336</v>
      </c>
      <c r="B205">
        <v>2020</v>
      </c>
      <c r="C205">
        <v>34.92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336</v>
      </c>
      <c r="B206">
        <v>2019</v>
      </c>
      <c r="C206">
        <v>28.44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336</v>
      </c>
      <c r="B207">
        <v>2018</v>
      </c>
      <c r="C207">
        <v>31.79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336</v>
      </c>
      <c r="B208">
        <v>2017</v>
      </c>
      <c r="C208">
        <v>26.2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336</v>
      </c>
      <c r="B209">
        <v>2016</v>
      </c>
      <c r="C209">
        <v>24.77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336</v>
      </c>
      <c r="B210">
        <v>2015</v>
      </c>
      <c r="C210">
        <v>34.61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336</v>
      </c>
      <c r="B211">
        <v>2014</v>
      </c>
      <c r="C211">
        <v>31.86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337</v>
      </c>
      <c r="B212">
        <v>2023</v>
      </c>
      <c r="C212">
        <v>187.49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337</v>
      </c>
      <c r="B213">
        <v>2022</v>
      </c>
      <c r="C213">
        <v>153.33000000000001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337</v>
      </c>
      <c r="B214">
        <v>2021</v>
      </c>
      <c r="C214">
        <v>132.02000000000001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337</v>
      </c>
      <c r="B215">
        <v>2020</v>
      </c>
      <c r="C215">
        <v>134.22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337</v>
      </c>
      <c r="B216">
        <v>2019</v>
      </c>
      <c r="C216">
        <v>100.14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337</v>
      </c>
      <c r="B217">
        <v>2018</v>
      </c>
      <c r="C217">
        <v>101.65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337</v>
      </c>
      <c r="B218">
        <v>2017</v>
      </c>
      <c r="C218">
        <v>92.25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337</v>
      </c>
      <c r="B219">
        <v>2016</v>
      </c>
      <c r="C219">
        <v>143.63999999999999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337</v>
      </c>
      <c r="B220">
        <v>2015</v>
      </c>
      <c r="C220">
        <v>193.5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337</v>
      </c>
      <c r="B221">
        <v>2014</v>
      </c>
      <c r="C221">
        <v>147.66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338</v>
      </c>
      <c r="B222">
        <v>2023</v>
      </c>
      <c r="C222">
        <v>449.81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338</v>
      </c>
      <c r="B223">
        <v>2022</v>
      </c>
      <c r="C223">
        <v>363.68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338</v>
      </c>
      <c r="B224">
        <v>2021</v>
      </c>
      <c r="C224">
        <v>293.25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338</v>
      </c>
      <c r="B225">
        <v>2020</v>
      </c>
      <c r="C225">
        <v>298.12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338</v>
      </c>
      <c r="B226">
        <v>2019</v>
      </c>
      <c r="C226">
        <v>221.68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338</v>
      </c>
      <c r="B227">
        <v>2018</v>
      </c>
      <c r="C227">
        <v>298.58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338</v>
      </c>
      <c r="B228">
        <v>2017</v>
      </c>
      <c r="C228">
        <v>300.43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338</v>
      </c>
      <c r="B229">
        <v>2016</v>
      </c>
      <c r="C229">
        <v>263.8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338</v>
      </c>
      <c r="B230">
        <v>2015</v>
      </c>
      <c r="C230">
        <v>251.52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338</v>
      </c>
      <c r="B231">
        <v>2014</v>
      </c>
      <c r="C231">
        <v>201.5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339</v>
      </c>
      <c r="B232">
        <v>2023</v>
      </c>
      <c r="C232">
        <v>329.53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339</v>
      </c>
      <c r="B233">
        <v>2022</v>
      </c>
      <c r="C233">
        <v>327.35000000000002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339</v>
      </c>
      <c r="B234">
        <v>2021</v>
      </c>
      <c r="C234">
        <v>182.89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339</v>
      </c>
      <c r="B235">
        <v>2020</v>
      </c>
      <c r="C235">
        <v>149.56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339</v>
      </c>
      <c r="B236">
        <v>2019</v>
      </c>
      <c r="C236">
        <v>108.3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339</v>
      </c>
      <c r="B237">
        <v>2018</v>
      </c>
      <c r="C237">
        <v>89.49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339</v>
      </c>
      <c r="B238">
        <v>2017</v>
      </c>
      <c r="C238">
        <v>97.96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339</v>
      </c>
      <c r="B239">
        <v>2016</v>
      </c>
      <c r="C239">
        <v>123.76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339</v>
      </c>
      <c r="B240">
        <v>2015</v>
      </c>
      <c r="C240">
        <v>94.46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339</v>
      </c>
      <c r="B241">
        <v>2014</v>
      </c>
      <c r="C241">
        <v>85.82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340</v>
      </c>
      <c r="B242">
        <v>2023</v>
      </c>
      <c r="C242">
        <v>127.2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340</v>
      </c>
      <c r="B243">
        <v>2022</v>
      </c>
      <c r="C243">
        <v>99.41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340</v>
      </c>
      <c r="B244">
        <v>2021</v>
      </c>
      <c r="C244">
        <v>66.569999999999993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340</v>
      </c>
      <c r="B245">
        <v>2020</v>
      </c>
      <c r="C245">
        <v>76.28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340</v>
      </c>
      <c r="B246">
        <v>2019</v>
      </c>
      <c r="C246">
        <v>49.06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340</v>
      </c>
      <c r="B247">
        <v>2018</v>
      </c>
      <c r="C247">
        <v>64.92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340</v>
      </c>
      <c r="B248">
        <v>2017</v>
      </c>
      <c r="C248">
        <v>62.47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340</v>
      </c>
      <c r="B249">
        <v>2016</v>
      </c>
      <c r="C249">
        <v>87.16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340</v>
      </c>
      <c r="B250">
        <v>2015</v>
      </c>
      <c r="C250">
        <v>110.19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340</v>
      </c>
      <c r="B251">
        <v>2014</v>
      </c>
      <c r="C251">
        <v>78.92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341</v>
      </c>
      <c r="B252">
        <v>2023</v>
      </c>
      <c r="C252">
        <v>77.12</v>
      </c>
      <c r="D252" t="e">
        <f>VLOOKUP(表1_[[#This Row],[地区]],Sheet2!A:B,2,0)</f>
        <v>#N/A</v>
      </c>
      <c r="E252" t="e">
        <f>表1_[[#This Row],[年份]]+表1_[[#This Row],[行政区划]]</f>
        <v>#N/A</v>
      </c>
    </row>
    <row r="253" spans="1:5" x14ac:dyDescent="0.3">
      <c r="A253" t="s">
        <v>341</v>
      </c>
      <c r="B253">
        <v>2022</v>
      </c>
      <c r="C253">
        <v>71.84</v>
      </c>
      <c r="D253" t="e">
        <f>VLOOKUP(表1_[[#This Row],[地区]],Sheet2!A:B,2,0)</f>
        <v>#N/A</v>
      </c>
      <c r="E253" t="e">
        <f>表1_[[#This Row],[年份]]+表1_[[#This Row],[行政区划]]</f>
        <v>#N/A</v>
      </c>
    </row>
    <row r="254" spans="1:5" x14ac:dyDescent="0.3">
      <c r="A254" t="s">
        <v>341</v>
      </c>
      <c r="B254">
        <v>2021</v>
      </c>
      <c r="C254">
        <v>61.27</v>
      </c>
      <c r="D254" t="e">
        <f>VLOOKUP(表1_[[#This Row],[地区]],Sheet2!A:B,2,0)</f>
        <v>#N/A</v>
      </c>
      <c r="E254" t="e">
        <f>表1_[[#This Row],[年份]]+表1_[[#This Row],[行政区划]]</f>
        <v>#N/A</v>
      </c>
    </row>
    <row r="255" spans="1:5" x14ac:dyDescent="0.3">
      <c r="A255" t="s">
        <v>341</v>
      </c>
      <c r="B255">
        <v>2020</v>
      </c>
      <c r="C255">
        <v>68.81</v>
      </c>
      <c r="D255" t="e">
        <f>VLOOKUP(表1_[[#This Row],[地区]],Sheet2!A:B,2,0)</f>
        <v>#N/A</v>
      </c>
      <c r="E255" t="e">
        <f>表1_[[#This Row],[年份]]+表1_[[#This Row],[行政区划]]</f>
        <v>#N/A</v>
      </c>
    </row>
    <row r="256" spans="1:5" x14ac:dyDescent="0.3">
      <c r="A256" t="s">
        <v>341</v>
      </c>
      <c r="B256">
        <v>2019</v>
      </c>
      <c r="C256">
        <v>59.73</v>
      </c>
      <c r="D256" t="e">
        <f>VLOOKUP(表1_[[#This Row],[地区]],Sheet2!A:B,2,0)</f>
        <v>#N/A</v>
      </c>
      <c r="E256" t="e">
        <f>表1_[[#This Row],[年份]]+表1_[[#This Row],[行政区划]]</f>
        <v>#N/A</v>
      </c>
    </row>
    <row r="257" spans="1:5" x14ac:dyDescent="0.3">
      <c r="A257" t="s">
        <v>341</v>
      </c>
      <c r="B257">
        <v>2018</v>
      </c>
      <c r="C257">
        <v>48.53</v>
      </c>
      <c r="D257" t="e">
        <f>VLOOKUP(表1_[[#This Row],[地区]],Sheet2!A:B,2,0)</f>
        <v>#N/A</v>
      </c>
      <c r="E257" t="e">
        <f>表1_[[#This Row],[年份]]+表1_[[#This Row],[行政区划]]</f>
        <v>#N/A</v>
      </c>
    </row>
    <row r="258" spans="1:5" x14ac:dyDescent="0.3">
      <c r="A258" t="s">
        <v>341</v>
      </c>
      <c r="B258">
        <v>2017</v>
      </c>
      <c r="C258">
        <v>62.07</v>
      </c>
      <c r="D258" t="e">
        <f>VLOOKUP(表1_[[#This Row],[地区]],Sheet2!A:B,2,0)</f>
        <v>#N/A</v>
      </c>
      <c r="E258" t="e">
        <f>表1_[[#This Row],[年份]]+表1_[[#This Row],[行政区划]]</f>
        <v>#N/A</v>
      </c>
    </row>
    <row r="259" spans="1:5" x14ac:dyDescent="0.3">
      <c r="A259" t="s">
        <v>341</v>
      </c>
      <c r="B259">
        <v>2016</v>
      </c>
      <c r="C259">
        <v>45.63</v>
      </c>
      <c r="D259" t="e">
        <f>VLOOKUP(表1_[[#This Row],[地区]],Sheet2!A:B,2,0)</f>
        <v>#N/A</v>
      </c>
      <c r="E259" t="e">
        <f>表1_[[#This Row],[年份]]+表1_[[#This Row],[行政区划]]</f>
        <v>#N/A</v>
      </c>
    </row>
    <row r="260" spans="1:5" x14ac:dyDescent="0.3">
      <c r="A260" t="s">
        <v>341</v>
      </c>
      <c r="B260">
        <v>2015</v>
      </c>
      <c r="C260">
        <v>32.92</v>
      </c>
      <c r="D260" t="e">
        <f>VLOOKUP(表1_[[#This Row],[地区]],Sheet2!A:B,2,0)</f>
        <v>#N/A</v>
      </c>
      <c r="E260" t="e">
        <f>表1_[[#This Row],[年份]]+表1_[[#This Row],[行政区划]]</f>
        <v>#N/A</v>
      </c>
    </row>
    <row r="261" spans="1:5" x14ac:dyDescent="0.3">
      <c r="A261" t="s">
        <v>341</v>
      </c>
      <c r="B261">
        <v>2014</v>
      </c>
      <c r="C261">
        <v>56.73</v>
      </c>
      <c r="D261" t="e">
        <f>VLOOKUP(表1_[[#This Row],[地区]],Sheet2!A:B,2,0)</f>
        <v>#N/A</v>
      </c>
      <c r="E261" t="e">
        <f>表1_[[#This Row],[年份]]+表1_[[#This Row],[行政区划]]</f>
        <v>#N/A</v>
      </c>
    </row>
    <row r="262" spans="1:5" x14ac:dyDescent="0.3">
      <c r="A262" t="s">
        <v>342</v>
      </c>
      <c r="B262">
        <v>2023</v>
      </c>
      <c r="C262">
        <v>206.88</v>
      </c>
      <c r="D262">
        <f>VLOOKUP(表1_[[#This Row],[地区]],Sheet2!A:B,2,0)</f>
        <v>610000</v>
      </c>
      <c r="E262">
        <f>表1_[[#This Row],[年份]]+表1_[[#This Row],[行政区划]]</f>
        <v>612023</v>
      </c>
    </row>
    <row r="263" spans="1:5" x14ac:dyDescent="0.3">
      <c r="A263" t="s">
        <v>342</v>
      </c>
      <c r="B263">
        <v>2022</v>
      </c>
      <c r="C263">
        <v>192.74</v>
      </c>
      <c r="D263">
        <f>VLOOKUP(表1_[[#This Row],[地区]],Sheet2!A:B,2,0)</f>
        <v>610000</v>
      </c>
      <c r="E263">
        <f>表1_[[#This Row],[年份]]+表1_[[#This Row],[行政区划]]</f>
        <v>612022</v>
      </c>
    </row>
    <row r="264" spans="1:5" x14ac:dyDescent="0.3">
      <c r="A264" t="s">
        <v>342</v>
      </c>
      <c r="B264">
        <v>2021</v>
      </c>
      <c r="C264">
        <v>129.93</v>
      </c>
      <c r="D264">
        <f>VLOOKUP(表1_[[#This Row],[地区]],Sheet2!A:B,2,0)</f>
        <v>610000</v>
      </c>
      <c r="E264">
        <f>表1_[[#This Row],[年份]]+表1_[[#This Row],[行政区划]]</f>
        <v>612021</v>
      </c>
    </row>
    <row r="265" spans="1:5" x14ac:dyDescent="0.3">
      <c r="A265" t="s">
        <v>342</v>
      </c>
      <c r="B265">
        <v>2020</v>
      </c>
      <c r="C265">
        <v>117.6</v>
      </c>
      <c r="D265">
        <f>VLOOKUP(表1_[[#This Row],[地区]],Sheet2!A:B,2,0)</f>
        <v>610000</v>
      </c>
      <c r="E265">
        <f>表1_[[#This Row],[年份]]+表1_[[#This Row],[行政区划]]</f>
        <v>612020</v>
      </c>
    </row>
    <row r="266" spans="1:5" x14ac:dyDescent="0.3">
      <c r="A266" t="s">
        <v>342</v>
      </c>
      <c r="B266">
        <v>2019</v>
      </c>
      <c r="C266">
        <v>89.67</v>
      </c>
      <c r="D266">
        <f>VLOOKUP(表1_[[#This Row],[地区]],Sheet2!A:B,2,0)</f>
        <v>610000</v>
      </c>
      <c r="E266">
        <f>表1_[[#This Row],[年份]]+表1_[[#This Row],[行政区划]]</f>
        <v>612019</v>
      </c>
    </row>
    <row r="267" spans="1:5" x14ac:dyDescent="0.3">
      <c r="A267" t="s">
        <v>342</v>
      </c>
      <c r="B267">
        <v>2018</v>
      </c>
      <c r="C267">
        <v>90.33</v>
      </c>
      <c r="D267">
        <f>VLOOKUP(表1_[[#This Row],[地区]],Sheet2!A:B,2,0)</f>
        <v>610000</v>
      </c>
      <c r="E267">
        <f>表1_[[#This Row],[年份]]+表1_[[#This Row],[行政区划]]</f>
        <v>612018</v>
      </c>
    </row>
    <row r="268" spans="1:5" x14ac:dyDescent="0.3">
      <c r="A268" t="s">
        <v>342</v>
      </c>
      <c r="B268">
        <v>2017</v>
      </c>
      <c r="C268">
        <v>93.46</v>
      </c>
      <c r="D268">
        <f>VLOOKUP(表1_[[#This Row],[地区]],Sheet2!A:B,2,0)</f>
        <v>610000</v>
      </c>
      <c r="E268">
        <f>表1_[[#This Row],[年份]]+表1_[[#This Row],[行政区划]]</f>
        <v>612017</v>
      </c>
    </row>
    <row r="269" spans="1:5" x14ac:dyDescent="0.3">
      <c r="A269" t="s">
        <v>342</v>
      </c>
      <c r="B269">
        <v>2016</v>
      </c>
      <c r="C269">
        <v>107.44</v>
      </c>
      <c r="D269">
        <f>VLOOKUP(表1_[[#This Row],[地区]],Sheet2!A:B,2,0)</f>
        <v>610000</v>
      </c>
      <c r="E269">
        <f>表1_[[#This Row],[年份]]+表1_[[#This Row],[行政区划]]</f>
        <v>612016</v>
      </c>
    </row>
    <row r="270" spans="1:5" x14ac:dyDescent="0.3">
      <c r="A270" t="s">
        <v>342</v>
      </c>
      <c r="B270">
        <v>2015</v>
      </c>
      <c r="C270">
        <v>107.3</v>
      </c>
      <c r="D270">
        <f>VLOOKUP(表1_[[#This Row],[地区]],Sheet2!A:B,2,0)</f>
        <v>610000</v>
      </c>
      <c r="E270">
        <f>表1_[[#This Row],[年份]]+表1_[[#This Row],[行政区划]]</f>
        <v>612015</v>
      </c>
    </row>
    <row r="271" spans="1:5" x14ac:dyDescent="0.3">
      <c r="A271" t="s">
        <v>342</v>
      </c>
      <c r="B271">
        <v>2014</v>
      </c>
      <c r="C271">
        <v>95.12</v>
      </c>
      <c r="D271">
        <f>VLOOKUP(表1_[[#This Row],[地区]],Sheet2!A:B,2,0)</f>
        <v>610000</v>
      </c>
      <c r="E271">
        <f>表1_[[#This Row],[年份]]+表1_[[#This Row],[行政区划]]</f>
        <v>612014</v>
      </c>
    </row>
    <row r="272" spans="1:5" x14ac:dyDescent="0.3">
      <c r="A272" t="s">
        <v>343</v>
      </c>
      <c r="B272">
        <v>2023</v>
      </c>
      <c r="C272">
        <v>63.25</v>
      </c>
      <c r="D272">
        <f>VLOOKUP(表1_[[#This Row],[地区]],Sheet2!A:B,2,0)</f>
        <v>620000</v>
      </c>
      <c r="E272">
        <f>表1_[[#This Row],[年份]]+表1_[[#This Row],[行政区划]]</f>
        <v>622023</v>
      </c>
    </row>
    <row r="273" spans="1:5" x14ac:dyDescent="0.3">
      <c r="A273" t="s">
        <v>343</v>
      </c>
      <c r="B273">
        <v>2022</v>
      </c>
      <c r="C273">
        <v>49.09</v>
      </c>
      <c r="D273">
        <f>VLOOKUP(表1_[[#This Row],[地区]],Sheet2!A:B,2,0)</f>
        <v>620000</v>
      </c>
      <c r="E273">
        <f>表1_[[#This Row],[年份]]+表1_[[#This Row],[行政区划]]</f>
        <v>622022</v>
      </c>
    </row>
    <row r="274" spans="1:5" x14ac:dyDescent="0.3">
      <c r="A274" t="s">
        <v>343</v>
      </c>
      <c r="B274">
        <v>2021</v>
      </c>
      <c r="C274">
        <v>65.05</v>
      </c>
      <c r="D274">
        <f>VLOOKUP(表1_[[#This Row],[地区]],Sheet2!A:B,2,0)</f>
        <v>620000</v>
      </c>
      <c r="E274">
        <f>表1_[[#This Row],[年份]]+表1_[[#This Row],[行政区划]]</f>
        <v>622021</v>
      </c>
    </row>
    <row r="275" spans="1:5" x14ac:dyDescent="0.3">
      <c r="A275" t="s">
        <v>343</v>
      </c>
      <c r="B275">
        <v>2020</v>
      </c>
      <c r="C275">
        <v>49.6</v>
      </c>
      <c r="D275">
        <f>VLOOKUP(表1_[[#This Row],[地区]],Sheet2!A:B,2,0)</f>
        <v>620000</v>
      </c>
      <c r="E275">
        <f>表1_[[#This Row],[年份]]+表1_[[#This Row],[行政区划]]</f>
        <v>622020</v>
      </c>
    </row>
    <row r="276" spans="1:5" x14ac:dyDescent="0.3">
      <c r="A276" t="s">
        <v>343</v>
      </c>
      <c r="B276">
        <v>2019</v>
      </c>
      <c r="C276">
        <v>33.04</v>
      </c>
      <c r="D276">
        <f>VLOOKUP(表1_[[#This Row],[地区]],Sheet2!A:B,2,0)</f>
        <v>620000</v>
      </c>
      <c r="E276">
        <f>表1_[[#This Row],[年份]]+表1_[[#This Row],[行政区划]]</f>
        <v>622019</v>
      </c>
    </row>
    <row r="277" spans="1:5" x14ac:dyDescent="0.3">
      <c r="A277" t="s">
        <v>343</v>
      </c>
      <c r="B277">
        <v>2018</v>
      </c>
      <c r="C277">
        <v>60.1</v>
      </c>
      <c r="D277">
        <f>VLOOKUP(表1_[[#This Row],[地区]],Sheet2!A:B,2,0)</f>
        <v>620000</v>
      </c>
      <c r="E277">
        <f>表1_[[#This Row],[年份]]+表1_[[#This Row],[行政区划]]</f>
        <v>622018</v>
      </c>
    </row>
    <row r="278" spans="1:5" x14ac:dyDescent="0.3">
      <c r="A278" t="s">
        <v>343</v>
      </c>
      <c r="B278">
        <v>2017</v>
      </c>
      <c r="C278">
        <v>49.09</v>
      </c>
      <c r="D278">
        <f>VLOOKUP(表1_[[#This Row],[地区]],Sheet2!A:B,2,0)</f>
        <v>620000</v>
      </c>
      <c r="E278">
        <f>表1_[[#This Row],[年份]]+表1_[[#This Row],[行政区划]]</f>
        <v>622017</v>
      </c>
    </row>
    <row r="279" spans="1:5" x14ac:dyDescent="0.3">
      <c r="A279" t="s">
        <v>343</v>
      </c>
      <c r="B279">
        <v>2016</v>
      </c>
      <c r="C279">
        <v>69.98</v>
      </c>
      <c r="D279">
        <f>VLOOKUP(表1_[[#This Row],[地区]],Sheet2!A:B,2,0)</f>
        <v>620000</v>
      </c>
      <c r="E279">
        <f>表1_[[#This Row],[年份]]+表1_[[#This Row],[行政区划]]</f>
        <v>622016</v>
      </c>
    </row>
    <row r="280" spans="1:5" x14ac:dyDescent="0.3">
      <c r="A280" t="s">
        <v>343</v>
      </c>
      <c r="B280">
        <v>2015</v>
      </c>
      <c r="C280">
        <v>47.73</v>
      </c>
      <c r="D280">
        <f>VLOOKUP(表1_[[#This Row],[地区]],Sheet2!A:B,2,0)</f>
        <v>620000</v>
      </c>
      <c r="E280">
        <f>表1_[[#This Row],[年份]]+表1_[[#This Row],[行政区划]]</f>
        <v>622015</v>
      </c>
    </row>
    <row r="281" spans="1:5" x14ac:dyDescent="0.3">
      <c r="A281" t="s">
        <v>343</v>
      </c>
      <c r="B281">
        <v>2014</v>
      </c>
      <c r="C281">
        <v>43.4</v>
      </c>
      <c r="D281">
        <f>VLOOKUP(表1_[[#This Row],[地区]],Sheet2!A:B,2,0)</f>
        <v>620000</v>
      </c>
      <c r="E281">
        <f>表1_[[#This Row],[年份]]+表1_[[#This Row],[行政区划]]</f>
        <v>622014</v>
      </c>
    </row>
    <row r="282" spans="1:5" x14ac:dyDescent="0.3">
      <c r="A282" t="s">
        <v>344</v>
      </c>
      <c r="B282">
        <v>2023</v>
      </c>
      <c r="C282">
        <v>63.08</v>
      </c>
      <c r="D282">
        <f>VLOOKUP(表1_[[#This Row],[地区]],Sheet2!A:B,2,0)</f>
        <v>630000</v>
      </c>
      <c r="E282">
        <f>表1_[[#This Row],[年份]]+表1_[[#This Row],[行政区划]]</f>
        <v>632023</v>
      </c>
    </row>
    <row r="283" spans="1:5" x14ac:dyDescent="0.3">
      <c r="A283" t="s">
        <v>344</v>
      </c>
      <c r="B283">
        <v>2022</v>
      </c>
      <c r="C283">
        <v>46.1</v>
      </c>
      <c r="D283">
        <f>VLOOKUP(表1_[[#This Row],[地区]],Sheet2!A:B,2,0)</f>
        <v>630000</v>
      </c>
      <c r="E283">
        <f>表1_[[#This Row],[年份]]+表1_[[#This Row],[行政区划]]</f>
        <v>632022</v>
      </c>
    </row>
    <row r="284" spans="1:5" x14ac:dyDescent="0.3">
      <c r="A284" t="s">
        <v>344</v>
      </c>
      <c r="B284">
        <v>2021</v>
      </c>
      <c r="C284">
        <v>62.28</v>
      </c>
      <c r="D284">
        <f>VLOOKUP(表1_[[#This Row],[地区]],Sheet2!A:B,2,0)</f>
        <v>630000</v>
      </c>
      <c r="E284">
        <f>表1_[[#This Row],[年份]]+表1_[[#This Row],[行政区划]]</f>
        <v>632021</v>
      </c>
    </row>
    <row r="285" spans="1:5" x14ac:dyDescent="0.3">
      <c r="A285" t="s">
        <v>344</v>
      </c>
      <c r="B285">
        <v>2020</v>
      </c>
      <c r="C285">
        <v>36.71</v>
      </c>
      <c r="D285">
        <f>VLOOKUP(表1_[[#This Row],[地区]],Sheet2!A:B,2,0)</f>
        <v>630000</v>
      </c>
      <c r="E285">
        <f>表1_[[#This Row],[年份]]+表1_[[#This Row],[行政区划]]</f>
        <v>632020</v>
      </c>
    </row>
    <row r="286" spans="1:5" x14ac:dyDescent="0.3">
      <c r="A286" t="s">
        <v>344</v>
      </c>
      <c r="B286">
        <v>2019</v>
      </c>
      <c r="C286">
        <v>43.56</v>
      </c>
      <c r="D286">
        <f>VLOOKUP(表1_[[#This Row],[地区]],Sheet2!A:B,2,0)</f>
        <v>630000</v>
      </c>
      <c r="E286">
        <f>表1_[[#This Row],[年份]]+表1_[[#This Row],[行政区划]]</f>
        <v>632019</v>
      </c>
    </row>
    <row r="287" spans="1:5" x14ac:dyDescent="0.3">
      <c r="A287" t="s">
        <v>344</v>
      </c>
      <c r="B287">
        <v>2018</v>
      </c>
      <c r="C287">
        <v>37.83</v>
      </c>
      <c r="D287">
        <f>VLOOKUP(表1_[[#This Row],[地区]],Sheet2!A:B,2,0)</f>
        <v>630000</v>
      </c>
      <c r="E287">
        <f>表1_[[#This Row],[年份]]+表1_[[#This Row],[行政区划]]</f>
        <v>632018</v>
      </c>
    </row>
    <row r="288" spans="1:5" x14ac:dyDescent="0.3">
      <c r="A288" t="s">
        <v>344</v>
      </c>
      <c r="B288">
        <v>2017</v>
      </c>
      <c r="C288">
        <v>36.35</v>
      </c>
      <c r="D288">
        <f>VLOOKUP(表1_[[#This Row],[地区]],Sheet2!A:B,2,0)</f>
        <v>630000</v>
      </c>
      <c r="E288">
        <f>表1_[[#This Row],[年份]]+表1_[[#This Row],[行政区划]]</f>
        <v>632017</v>
      </c>
    </row>
    <row r="289" spans="1:5" x14ac:dyDescent="0.3">
      <c r="A289" t="s">
        <v>344</v>
      </c>
      <c r="B289">
        <v>2016</v>
      </c>
      <c r="C289">
        <v>49.58</v>
      </c>
      <c r="D289">
        <f>VLOOKUP(表1_[[#This Row],[地区]],Sheet2!A:B,2,0)</f>
        <v>630000</v>
      </c>
      <c r="E289">
        <f>表1_[[#This Row],[年份]]+表1_[[#This Row],[行政区划]]</f>
        <v>632016</v>
      </c>
    </row>
    <row r="290" spans="1:5" x14ac:dyDescent="0.3">
      <c r="A290" t="s">
        <v>344</v>
      </c>
      <c r="B290">
        <v>2015</v>
      </c>
      <c r="C290">
        <v>55.47</v>
      </c>
      <c r="D290">
        <f>VLOOKUP(表1_[[#This Row],[地区]],Sheet2!A:B,2,0)</f>
        <v>630000</v>
      </c>
      <c r="E290">
        <f>表1_[[#This Row],[年份]]+表1_[[#This Row],[行政区划]]</f>
        <v>632015</v>
      </c>
    </row>
    <row r="291" spans="1:5" x14ac:dyDescent="0.3">
      <c r="A291" t="s">
        <v>344</v>
      </c>
      <c r="B291">
        <v>2014</v>
      </c>
      <c r="C291">
        <v>56.31</v>
      </c>
      <c r="D291">
        <f>VLOOKUP(表1_[[#This Row],[地区]],Sheet2!A:B,2,0)</f>
        <v>630000</v>
      </c>
      <c r="E291">
        <f>表1_[[#This Row],[年份]]+表1_[[#This Row],[行政区划]]</f>
        <v>632014</v>
      </c>
    </row>
    <row r="292" spans="1:5" x14ac:dyDescent="0.3">
      <c r="A292" t="s">
        <v>345</v>
      </c>
      <c r="B292">
        <v>2023</v>
      </c>
      <c r="C292">
        <v>45.49</v>
      </c>
      <c r="D292">
        <f>VLOOKUP(表1_[[#This Row],[地区]],Sheet2!A:B,2,0)</f>
        <v>640000</v>
      </c>
      <c r="E292">
        <f>表1_[[#This Row],[年份]]+表1_[[#This Row],[行政区划]]</f>
        <v>642023</v>
      </c>
    </row>
    <row r="293" spans="1:5" x14ac:dyDescent="0.3">
      <c r="A293" t="s">
        <v>345</v>
      </c>
      <c r="B293">
        <v>2022</v>
      </c>
      <c r="C293">
        <v>31.55</v>
      </c>
      <c r="D293">
        <f>VLOOKUP(表1_[[#This Row],[地区]],Sheet2!A:B,2,0)</f>
        <v>640000</v>
      </c>
      <c r="E293">
        <f>表1_[[#This Row],[年份]]+表1_[[#This Row],[行政区划]]</f>
        <v>642022</v>
      </c>
    </row>
    <row r="294" spans="1:5" x14ac:dyDescent="0.3">
      <c r="A294" t="s">
        <v>345</v>
      </c>
      <c r="B294">
        <v>2021</v>
      </c>
      <c r="C294">
        <v>39.54</v>
      </c>
      <c r="D294">
        <f>VLOOKUP(表1_[[#This Row],[地区]],Sheet2!A:B,2,0)</f>
        <v>640000</v>
      </c>
      <c r="E294">
        <f>表1_[[#This Row],[年份]]+表1_[[#This Row],[行政区划]]</f>
        <v>642021</v>
      </c>
    </row>
    <row r="295" spans="1:5" x14ac:dyDescent="0.3">
      <c r="A295" t="s">
        <v>345</v>
      </c>
      <c r="B295">
        <v>2020</v>
      </c>
      <c r="C295">
        <v>48.6</v>
      </c>
      <c r="D295">
        <f>VLOOKUP(表1_[[#This Row],[地区]],Sheet2!A:B,2,0)</f>
        <v>640000</v>
      </c>
      <c r="E295">
        <f>表1_[[#This Row],[年份]]+表1_[[#This Row],[行政区划]]</f>
        <v>642020</v>
      </c>
    </row>
    <row r="296" spans="1:5" x14ac:dyDescent="0.3">
      <c r="A296" t="s">
        <v>345</v>
      </c>
      <c r="B296">
        <v>2019</v>
      </c>
      <c r="C296">
        <v>61.82</v>
      </c>
      <c r="D296">
        <f>VLOOKUP(表1_[[#This Row],[地区]],Sheet2!A:B,2,0)</f>
        <v>640000</v>
      </c>
      <c r="E296">
        <f>表1_[[#This Row],[年份]]+表1_[[#This Row],[行政区划]]</f>
        <v>642019</v>
      </c>
    </row>
    <row r="297" spans="1:5" x14ac:dyDescent="0.3">
      <c r="A297" t="s">
        <v>345</v>
      </c>
      <c r="B297">
        <v>2018</v>
      </c>
      <c r="C297">
        <v>37.93</v>
      </c>
      <c r="D297">
        <f>VLOOKUP(表1_[[#This Row],[地区]],Sheet2!A:B,2,0)</f>
        <v>640000</v>
      </c>
      <c r="E297">
        <f>表1_[[#This Row],[年份]]+表1_[[#This Row],[行政区划]]</f>
        <v>642018</v>
      </c>
    </row>
    <row r="298" spans="1:5" x14ac:dyDescent="0.3">
      <c r="A298" t="s">
        <v>345</v>
      </c>
      <c r="B298">
        <v>2017</v>
      </c>
      <c r="C298">
        <v>45.17</v>
      </c>
      <c r="D298">
        <f>VLOOKUP(表1_[[#This Row],[地区]],Sheet2!A:B,2,0)</f>
        <v>640000</v>
      </c>
      <c r="E298">
        <f>表1_[[#This Row],[年份]]+表1_[[#This Row],[行政区划]]</f>
        <v>642017</v>
      </c>
    </row>
    <row r="299" spans="1:5" x14ac:dyDescent="0.3">
      <c r="A299" t="s">
        <v>345</v>
      </c>
      <c r="B299">
        <v>2016</v>
      </c>
      <c r="C299">
        <v>33.96</v>
      </c>
      <c r="D299">
        <f>VLOOKUP(表1_[[#This Row],[地区]],Sheet2!A:B,2,0)</f>
        <v>640000</v>
      </c>
      <c r="E299">
        <f>表1_[[#This Row],[年份]]+表1_[[#This Row],[行政区划]]</f>
        <v>642016</v>
      </c>
    </row>
    <row r="300" spans="1:5" x14ac:dyDescent="0.3">
      <c r="A300" t="s">
        <v>345</v>
      </c>
      <c r="B300">
        <v>2015</v>
      </c>
      <c r="C300">
        <v>28.22</v>
      </c>
      <c r="D300">
        <f>VLOOKUP(表1_[[#This Row],[地区]],Sheet2!A:B,2,0)</f>
        <v>640000</v>
      </c>
      <c r="E300">
        <f>表1_[[#This Row],[年份]]+表1_[[#This Row],[行政区划]]</f>
        <v>642015</v>
      </c>
    </row>
    <row r="301" spans="1:5" x14ac:dyDescent="0.3">
      <c r="A301" t="s">
        <v>345</v>
      </c>
      <c r="B301">
        <v>2014</v>
      </c>
      <c r="C301">
        <v>29.78</v>
      </c>
      <c r="D301">
        <f>VLOOKUP(表1_[[#This Row],[地区]],Sheet2!A:B,2,0)</f>
        <v>640000</v>
      </c>
      <c r="E301">
        <f>表1_[[#This Row],[年份]]+表1_[[#This Row],[行政区划]]</f>
        <v>642014</v>
      </c>
    </row>
    <row r="302" spans="1:5" x14ac:dyDescent="0.3">
      <c r="A302" t="s">
        <v>346</v>
      </c>
      <c r="B302">
        <v>2023</v>
      </c>
      <c r="C302">
        <v>161.22</v>
      </c>
      <c r="D302">
        <f>VLOOKUP(表1_[[#This Row],[地区]],Sheet2!A:B,2,0)</f>
        <v>650000</v>
      </c>
      <c r="E302">
        <f>表1_[[#This Row],[年份]]+表1_[[#This Row],[行政区划]]</f>
        <v>652023</v>
      </c>
    </row>
    <row r="303" spans="1:5" x14ac:dyDescent="0.3">
      <c r="A303" t="s">
        <v>346</v>
      </c>
      <c r="B303">
        <v>2022</v>
      </c>
      <c r="C303">
        <v>178.21</v>
      </c>
      <c r="D303">
        <f>VLOOKUP(表1_[[#This Row],[地区]],Sheet2!A:B,2,0)</f>
        <v>650000</v>
      </c>
      <c r="E303">
        <f>表1_[[#This Row],[年份]]+表1_[[#This Row],[行政区划]]</f>
        <v>652022</v>
      </c>
    </row>
    <row r="304" spans="1:5" x14ac:dyDescent="0.3">
      <c r="A304" t="s">
        <v>346</v>
      </c>
      <c r="B304">
        <v>2021</v>
      </c>
      <c r="C304">
        <v>169.46</v>
      </c>
      <c r="D304">
        <f>VLOOKUP(表1_[[#This Row],[地区]],Sheet2!A:B,2,0)</f>
        <v>650000</v>
      </c>
      <c r="E304">
        <f>表1_[[#This Row],[年份]]+表1_[[#This Row],[行政区划]]</f>
        <v>652021</v>
      </c>
    </row>
    <row r="305" spans="1:5" x14ac:dyDescent="0.3">
      <c r="A305" t="s">
        <v>346</v>
      </c>
      <c r="B305">
        <v>2020</v>
      </c>
      <c r="C305">
        <v>146.19</v>
      </c>
      <c r="D305">
        <f>VLOOKUP(表1_[[#This Row],[地区]],Sheet2!A:B,2,0)</f>
        <v>650000</v>
      </c>
      <c r="E305">
        <f>表1_[[#This Row],[年份]]+表1_[[#This Row],[行政区划]]</f>
        <v>652020</v>
      </c>
    </row>
    <row r="306" spans="1:5" x14ac:dyDescent="0.3">
      <c r="A306" t="s">
        <v>346</v>
      </c>
      <c r="B306">
        <v>2019</v>
      </c>
      <c r="C306">
        <v>146.22</v>
      </c>
      <c r="D306">
        <f>VLOOKUP(表1_[[#This Row],[地区]],Sheet2!A:B,2,0)</f>
        <v>650000</v>
      </c>
      <c r="E306">
        <f>表1_[[#This Row],[年份]]+表1_[[#This Row],[行政区划]]</f>
        <v>652019</v>
      </c>
    </row>
    <row r="307" spans="1:5" x14ac:dyDescent="0.3">
      <c r="A307" t="s">
        <v>346</v>
      </c>
      <c r="B307">
        <v>2018</v>
      </c>
      <c r="C307">
        <v>178.71</v>
      </c>
      <c r="D307">
        <f>VLOOKUP(表1_[[#This Row],[地区]],Sheet2!A:B,2,0)</f>
        <v>650000</v>
      </c>
      <c r="E307">
        <f>表1_[[#This Row],[年份]]+表1_[[#This Row],[行政区划]]</f>
        <v>652018</v>
      </c>
    </row>
    <row r="308" spans="1:5" x14ac:dyDescent="0.3">
      <c r="A308" t="s">
        <v>346</v>
      </c>
      <c r="B308">
        <v>2017</v>
      </c>
      <c r="C308">
        <v>236.52</v>
      </c>
      <c r="D308">
        <f>VLOOKUP(表1_[[#This Row],[地区]],Sheet2!A:B,2,0)</f>
        <v>650000</v>
      </c>
      <c r="E308">
        <f>表1_[[#This Row],[年份]]+表1_[[#This Row],[行政区划]]</f>
        <v>652017</v>
      </c>
    </row>
    <row r="309" spans="1:5" x14ac:dyDescent="0.3">
      <c r="A309" t="s">
        <v>346</v>
      </c>
      <c r="B309">
        <v>2016</v>
      </c>
      <c r="C309">
        <v>94.46</v>
      </c>
      <c r="D309">
        <f>VLOOKUP(表1_[[#This Row],[地区]],Sheet2!A:B,2,0)</f>
        <v>650000</v>
      </c>
      <c r="E309">
        <f>表1_[[#This Row],[年份]]+表1_[[#This Row],[行政区划]]</f>
        <v>652016</v>
      </c>
    </row>
    <row r="310" spans="1:5" x14ac:dyDescent="0.3">
      <c r="A310" t="s">
        <v>346</v>
      </c>
      <c r="B310">
        <v>2015</v>
      </c>
      <c r="C310">
        <v>72.11</v>
      </c>
      <c r="D310">
        <f>VLOOKUP(表1_[[#This Row],[地区]],Sheet2!A:B,2,0)</f>
        <v>650000</v>
      </c>
      <c r="E310">
        <f>表1_[[#This Row],[年份]]+表1_[[#This Row],[行政区划]]</f>
        <v>652015</v>
      </c>
    </row>
    <row r="311" spans="1:5" x14ac:dyDescent="0.3">
      <c r="A311" t="s">
        <v>346</v>
      </c>
      <c r="B311">
        <v>2014</v>
      </c>
      <c r="C311">
        <v>56.75</v>
      </c>
      <c r="D311">
        <f>VLOOKUP(表1_[[#This Row],[地区]],Sheet2!A:B,2,0)</f>
        <v>650000</v>
      </c>
      <c r="E31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2E6D-FBD8-4C3D-97D2-7CB5534AB616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350</v>
      </c>
      <c r="B1" s="4" t="s">
        <v>351</v>
      </c>
    </row>
    <row r="2" spans="1:2" x14ac:dyDescent="0.3">
      <c r="A2" s="4" t="s">
        <v>316</v>
      </c>
      <c r="B2" s="4">
        <v>110000</v>
      </c>
    </row>
    <row r="3" spans="1:2" x14ac:dyDescent="0.3">
      <c r="A3" s="4" t="s">
        <v>317</v>
      </c>
      <c r="B3" s="4">
        <v>120000</v>
      </c>
    </row>
    <row r="4" spans="1:2" x14ac:dyDescent="0.3">
      <c r="A4" s="4" t="s">
        <v>318</v>
      </c>
      <c r="B4" s="4">
        <v>130000</v>
      </c>
    </row>
    <row r="5" spans="1:2" x14ac:dyDescent="0.3">
      <c r="A5" s="4" t="s">
        <v>319</v>
      </c>
      <c r="B5" s="4">
        <v>140000</v>
      </c>
    </row>
    <row r="6" spans="1:2" x14ac:dyDescent="0.3">
      <c r="A6" s="4" t="s">
        <v>320</v>
      </c>
      <c r="B6" s="4">
        <v>150000</v>
      </c>
    </row>
    <row r="7" spans="1:2" x14ac:dyDescent="0.3">
      <c r="A7" s="4" t="s">
        <v>321</v>
      </c>
      <c r="B7" s="4">
        <v>210000</v>
      </c>
    </row>
    <row r="8" spans="1:2" x14ac:dyDescent="0.3">
      <c r="A8" s="4" t="s">
        <v>322</v>
      </c>
      <c r="B8" s="4">
        <v>220000</v>
      </c>
    </row>
    <row r="9" spans="1:2" x14ac:dyDescent="0.3">
      <c r="A9" s="4" t="s">
        <v>323</v>
      </c>
      <c r="B9" s="4">
        <v>230000</v>
      </c>
    </row>
    <row r="10" spans="1:2" x14ac:dyDescent="0.3">
      <c r="A10" s="4" t="s">
        <v>324</v>
      </c>
      <c r="B10" s="4">
        <v>310000</v>
      </c>
    </row>
    <row r="11" spans="1:2" x14ac:dyDescent="0.3">
      <c r="A11" s="4" t="s">
        <v>325</v>
      </c>
      <c r="B11" s="4">
        <v>320000</v>
      </c>
    </row>
    <row r="12" spans="1:2" x14ac:dyDescent="0.3">
      <c r="A12" s="4" t="s">
        <v>326</v>
      </c>
      <c r="B12" s="4">
        <v>330000</v>
      </c>
    </row>
    <row r="13" spans="1:2" x14ac:dyDescent="0.3">
      <c r="A13" s="4" t="s">
        <v>327</v>
      </c>
      <c r="B13" s="4">
        <v>340000</v>
      </c>
    </row>
    <row r="14" spans="1:2" x14ac:dyDescent="0.3">
      <c r="A14" s="4" t="s">
        <v>328</v>
      </c>
      <c r="B14" s="4">
        <v>350000</v>
      </c>
    </row>
    <row r="15" spans="1:2" x14ac:dyDescent="0.3">
      <c r="A15" s="4" t="s">
        <v>329</v>
      </c>
      <c r="B15" s="4">
        <v>360000</v>
      </c>
    </row>
    <row r="16" spans="1:2" x14ac:dyDescent="0.3">
      <c r="A16" s="4" t="s">
        <v>330</v>
      </c>
      <c r="B16" s="4">
        <v>370000</v>
      </c>
    </row>
    <row r="17" spans="1:2" x14ac:dyDescent="0.3">
      <c r="A17" s="4" t="s">
        <v>331</v>
      </c>
      <c r="B17" s="4">
        <v>410000</v>
      </c>
    </row>
    <row r="18" spans="1:2" x14ac:dyDescent="0.3">
      <c r="A18" s="4" t="s">
        <v>332</v>
      </c>
      <c r="B18" s="4">
        <v>420000</v>
      </c>
    </row>
    <row r="19" spans="1:2" x14ac:dyDescent="0.3">
      <c r="A19" s="4" t="s">
        <v>333</v>
      </c>
      <c r="B19" s="4">
        <v>430000</v>
      </c>
    </row>
    <row r="20" spans="1:2" x14ac:dyDescent="0.3">
      <c r="A20" s="4" t="s">
        <v>334</v>
      </c>
      <c r="B20" s="4">
        <v>440000</v>
      </c>
    </row>
    <row r="21" spans="1:2" x14ac:dyDescent="0.3">
      <c r="A21" s="4" t="s">
        <v>335</v>
      </c>
      <c r="B21" s="4">
        <v>450000</v>
      </c>
    </row>
    <row r="22" spans="1:2" x14ac:dyDescent="0.3">
      <c r="A22" s="4" t="s">
        <v>336</v>
      </c>
      <c r="B22" s="4">
        <v>460000</v>
      </c>
    </row>
    <row r="23" spans="1:2" x14ac:dyDescent="0.3">
      <c r="A23" s="4" t="s">
        <v>337</v>
      </c>
      <c r="B23" s="4">
        <v>500000</v>
      </c>
    </row>
    <row r="24" spans="1:2" x14ac:dyDescent="0.3">
      <c r="A24" s="4" t="s">
        <v>338</v>
      </c>
      <c r="B24" s="4">
        <v>510000</v>
      </c>
    </row>
    <row r="25" spans="1:2" x14ac:dyDescent="0.3">
      <c r="A25" s="4" t="s">
        <v>339</v>
      </c>
      <c r="B25" s="4">
        <v>520000</v>
      </c>
    </row>
    <row r="26" spans="1:2" x14ac:dyDescent="0.3">
      <c r="A26" s="4" t="s">
        <v>340</v>
      </c>
      <c r="B26" s="4">
        <v>530000</v>
      </c>
    </row>
    <row r="27" spans="1:2" x14ac:dyDescent="0.3">
      <c r="A27" s="4" t="s">
        <v>342</v>
      </c>
      <c r="B27" s="4">
        <v>610000</v>
      </c>
    </row>
    <row r="28" spans="1:2" x14ac:dyDescent="0.3">
      <c r="A28" s="4" t="s">
        <v>343</v>
      </c>
      <c r="B28" s="4">
        <v>620000</v>
      </c>
    </row>
    <row r="29" spans="1:2" x14ac:dyDescent="0.3">
      <c r="A29" s="4" t="s">
        <v>344</v>
      </c>
      <c r="B29" s="4">
        <v>630000</v>
      </c>
    </row>
    <row r="30" spans="1:2" x14ac:dyDescent="0.3">
      <c r="A30" s="4" t="s">
        <v>345</v>
      </c>
      <c r="B30" s="4">
        <v>640000</v>
      </c>
    </row>
    <row r="31" spans="1:2" x14ac:dyDescent="0.3">
      <c r="A31" s="4" t="s">
        <v>346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sqref="A1:K32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316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317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318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319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320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321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322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323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324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325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326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327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328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329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330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331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332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333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334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335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336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337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338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339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340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341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342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343</v>
      </c>
      <c r="B29" s="3" t="s">
        <v>281</v>
      </c>
      <c r="C29" s="3" t="s">
        <v>282</v>
      </c>
      <c r="D29" s="3" t="s">
        <v>283</v>
      </c>
      <c r="E29" s="3" t="s">
        <v>50</v>
      </c>
      <c r="F29" s="3" t="s">
        <v>284</v>
      </c>
      <c r="G29" s="3" t="s">
        <v>285</v>
      </c>
      <c r="H29" s="3" t="s">
        <v>282</v>
      </c>
      <c r="I29" s="3" t="s">
        <v>286</v>
      </c>
      <c r="J29" s="3" t="s">
        <v>287</v>
      </c>
      <c r="K29" s="3" t="s">
        <v>288</v>
      </c>
    </row>
    <row r="30" spans="1:11" ht="20.55" customHeight="1" x14ac:dyDescent="0.3">
      <c r="A30" s="2" t="s">
        <v>344</v>
      </c>
      <c r="B30" s="3" t="s">
        <v>289</v>
      </c>
      <c r="C30" s="3" t="s">
        <v>290</v>
      </c>
      <c r="D30" s="3" t="s">
        <v>72</v>
      </c>
      <c r="E30" s="3" t="s">
        <v>291</v>
      </c>
      <c r="F30" s="3" t="s">
        <v>292</v>
      </c>
      <c r="G30" s="3" t="s">
        <v>293</v>
      </c>
      <c r="H30" s="3" t="s">
        <v>294</v>
      </c>
      <c r="I30" s="3" t="s">
        <v>295</v>
      </c>
      <c r="J30" s="3" t="s">
        <v>296</v>
      </c>
      <c r="K30" s="3" t="s">
        <v>297</v>
      </c>
    </row>
    <row r="31" spans="1:11" ht="20.55" customHeight="1" x14ac:dyDescent="0.3">
      <c r="A31" s="2" t="s">
        <v>345</v>
      </c>
      <c r="B31" s="3" t="s">
        <v>298</v>
      </c>
      <c r="C31" s="3" t="s">
        <v>299</v>
      </c>
      <c r="D31" s="3" t="s">
        <v>300</v>
      </c>
      <c r="E31" s="3" t="s">
        <v>301</v>
      </c>
      <c r="F31" s="3" t="s">
        <v>302</v>
      </c>
      <c r="G31" s="3" t="s">
        <v>303</v>
      </c>
      <c r="H31" s="3" t="s">
        <v>304</v>
      </c>
      <c r="I31" s="3" t="s">
        <v>305</v>
      </c>
      <c r="J31" s="3" t="s">
        <v>306</v>
      </c>
      <c r="K31" s="3" t="s">
        <v>307</v>
      </c>
    </row>
    <row r="32" spans="1:11" ht="20.55" customHeight="1" x14ac:dyDescent="0.3">
      <c r="A32" s="2" t="s">
        <v>346</v>
      </c>
      <c r="B32" s="3" t="s">
        <v>308</v>
      </c>
      <c r="C32" s="3" t="s">
        <v>309</v>
      </c>
      <c r="D32" s="3" t="s">
        <v>310</v>
      </c>
      <c r="E32" s="3" t="s">
        <v>65</v>
      </c>
      <c r="F32" s="3" t="s">
        <v>311</v>
      </c>
      <c r="G32" s="3" t="s">
        <v>312</v>
      </c>
      <c r="H32" s="3" t="s">
        <v>313</v>
      </c>
      <c r="I32" s="3" t="s">
        <v>249</v>
      </c>
      <c r="J32" s="3" t="s">
        <v>314</v>
      </c>
      <c r="K32" s="3" t="s">
        <v>315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A3DFF9-DC9F-4132-A2CF-59478B809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2026-04-14T11:50:08Z</dcterms:created>
  <dcterms:modified xsi:type="dcterms:W3CDTF">2026-04-16T14:43:22Z</dcterms:modified>
  <cp:category/>
</cp:coreProperties>
</file>
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jjmlinxieli\处理数据\excel\低空经济测度指标\"/>
    </mc:Choice>
  </mc:AlternateContent>
  <xr:revisionPtr revIDLastSave="0" documentId="13_ncr:1_{C0993071-47E6-4B3C-96C4-7D2F4225A1DC}" xr6:coauthVersionLast="47" xr6:coauthVersionMax="47" xr10:uidLastSave="{00000000-0000-0000-0000-000000000000}"/>
  <bookViews>
    <workbookView xWindow="-98" yWindow="-98" windowWidth="24196" windowHeight="15196" xr2:uid="{36F21072-6CBD-4968-88ED-80E23F394CF7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E2" i="2" s="1"/>
  <c r="D3" i="2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E84" i="2" s="1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E105" i="2" s="1"/>
  <c r="D106" i="2"/>
  <c r="E106" i="2" s="1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E128" i="2" s="1"/>
  <c r="D129" i="2"/>
  <c r="E129" i="2" s="1"/>
  <c r="D130" i="2"/>
  <c r="E130" i="2" s="1"/>
  <c r="D131" i="2"/>
  <c r="E131" i="2" s="1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E159" i="2" s="1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E167" i="2" s="1"/>
  <c r="D168" i="2"/>
  <c r="E168" i="2" s="1"/>
  <c r="D169" i="2"/>
  <c r="E169" i="2" s="1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2" i="2"/>
  <c r="E182" i="2" s="1"/>
  <c r="D183" i="2"/>
  <c r="E183" i="2" s="1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E192" i="2" s="1"/>
  <c r="D193" i="2"/>
  <c r="E193" i="2" s="1"/>
  <c r="D194" i="2"/>
  <c r="E194" i="2" s="1"/>
  <c r="D195" i="2"/>
  <c r="E195" i="2" s="1"/>
  <c r="D196" i="2"/>
  <c r="E196" i="2" s="1"/>
  <c r="D197" i="2"/>
  <c r="E197" i="2" s="1"/>
  <c r="D198" i="2"/>
  <c r="E198" i="2" s="1"/>
  <c r="D199" i="2"/>
  <c r="E199" i="2" s="1"/>
  <c r="D200" i="2"/>
  <c r="E200" i="2" s="1"/>
  <c r="D201" i="2"/>
  <c r="E201" i="2" s="1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E239" i="2" s="1"/>
  <c r="D240" i="2"/>
  <c r="E240" i="2" s="1"/>
  <c r="D241" i="2"/>
  <c r="E241" i="2" s="1"/>
  <c r="D242" i="2"/>
  <c r="E242" i="2" s="1"/>
  <c r="D243" i="2"/>
  <c r="E243" i="2" s="1"/>
  <c r="D244" i="2"/>
  <c r="E244" i="2" s="1"/>
  <c r="D245" i="2"/>
  <c r="E245" i="2" s="1"/>
  <c r="D246" i="2"/>
  <c r="E246" i="2" s="1"/>
  <c r="D247" i="2"/>
  <c r="E247" i="2" s="1"/>
  <c r="D248" i="2"/>
  <c r="E248" i="2" s="1"/>
  <c r="D249" i="2"/>
  <c r="E249" i="2" s="1"/>
  <c r="D250" i="2"/>
  <c r="E250" i="2" s="1"/>
  <c r="D251" i="2"/>
  <c r="E251" i="2" s="1"/>
  <c r="D252" i="2"/>
  <c r="E252" i="2" s="1"/>
  <c r="D253" i="2"/>
  <c r="E253" i="2" s="1"/>
  <c r="D254" i="2"/>
  <c r="E254" i="2" s="1"/>
  <c r="D255" i="2"/>
  <c r="E255" i="2" s="1"/>
  <c r="D256" i="2"/>
  <c r="E256" i="2" s="1"/>
  <c r="D257" i="2"/>
  <c r="E257" i="2" s="1"/>
  <c r="D258" i="2"/>
  <c r="E258" i="2" s="1"/>
  <c r="D259" i="2"/>
  <c r="E259" i="2" s="1"/>
  <c r="D260" i="2"/>
  <c r="E260" i="2" s="1"/>
  <c r="D261" i="2"/>
  <c r="E261" i="2" s="1"/>
  <c r="D262" i="2"/>
  <c r="E262" i="2" s="1"/>
  <c r="D263" i="2"/>
  <c r="E263" i="2" s="1"/>
  <c r="D264" i="2"/>
  <c r="E264" i="2" s="1"/>
  <c r="D265" i="2"/>
  <c r="E265" i="2" s="1"/>
  <c r="D266" i="2"/>
  <c r="E266" i="2" s="1"/>
  <c r="D267" i="2"/>
  <c r="E267" i="2" s="1"/>
  <c r="D268" i="2"/>
  <c r="E268" i="2" s="1"/>
  <c r="D269" i="2"/>
  <c r="E269" i="2" s="1"/>
  <c r="D270" i="2"/>
  <c r="E270" i="2" s="1"/>
  <c r="D271" i="2"/>
  <c r="E271" i="2" s="1"/>
  <c r="D272" i="2"/>
  <c r="E272" i="2" s="1"/>
  <c r="D273" i="2"/>
  <c r="E273" i="2" s="1"/>
  <c r="D274" i="2"/>
  <c r="E274" i="2" s="1"/>
  <c r="D275" i="2"/>
  <c r="E275" i="2" s="1"/>
  <c r="D276" i="2"/>
  <c r="E276" i="2" s="1"/>
  <c r="D277" i="2"/>
  <c r="E277" i="2" s="1"/>
  <c r="D278" i="2"/>
  <c r="E278" i="2" s="1"/>
  <c r="D279" i="2"/>
  <c r="E279" i="2" s="1"/>
  <c r="D280" i="2"/>
  <c r="E280" i="2" s="1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E287" i="2" s="1"/>
  <c r="D288" i="2"/>
  <c r="E288" i="2" s="1"/>
  <c r="D289" i="2"/>
  <c r="E289" i="2" s="1"/>
  <c r="D290" i="2"/>
  <c r="E290" i="2" s="1"/>
  <c r="D291" i="2"/>
  <c r="E291" i="2" s="1"/>
  <c r="D292" i="2"/>
  <c r="E292" i="2" s="1"/>
  <c r="D293" i="2"/>
  <c r="E293" i="2" s="1"/>
  <c r="D294" i="2"/>
  <c r="E294" i="2" s="1"/>
  <c r="D295" i="2"/>
  <c r="E295" i="2" s="1"/>
  <c r="D296" i="2"/>
  <c r="E296" i="2" s="1"/>
  <c r="D297" i="2"/>
  <c r="E297" i="2" s="1"/>
  <c r="D298" i="2"/>
  <c r="E298" i="2" s="1"/>
  <c r="D299" i="2"/>
  <c r="E299" i="2" s="1"/>
  <c r="D300" i="2"/>
  <c r="E300" i="2" s="1"/>
  <c r="D301" i="2"/>
  <c r="E30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AC2DF4-1CDF-4E65-855D-161D5473099A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<sst xmlns="http://schemas.openxmlformats.org/spreadsheetml/2006/main" count="678" uniqueCount="48">
  <si>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</si>
  <si>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</si>
  <si>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</si>
  <si>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</si>
  <si>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</si>
  <si>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</si>
  <si>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</si>
  <si>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</si>
  <si>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</si>
  <si>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</si>
  <si>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</si>
  <si>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</si>
  <si>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</si>
  <si>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</si>
  <si>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</si>
  <si>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</si>
  <si>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</si>
  <si>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</si>
  <si>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</si>
  <si>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</si>
  <si>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</si>
  <si>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</si>
  <si>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</si>
  <si>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</si>
  <si>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</si>
  <si>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</si>
  <si>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</si>
  <si>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</si>
  <si>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</si>
  <si>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</si>
  <si>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地区</t>
  </si>
  <si>
    <t>地区</t>
    <phoneticPr fontId="1" type="noConversion"/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</si>
  <si>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</si>
  <si>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</si>
  <si>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</si>
  <si>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</si>
  <si>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</si>
  <si>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</si>
  <si>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</si>
  <si>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</si>
  <si>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</si>
  <si>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</si>
  <si>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行政区域</t>
    <phoneticPr fontId="1" type="noConversion"/>
  </si>
  <si>
    <t>id</t>
    <phoneticPr fontId="1" type="noConversion"/>
  </si>
  <si>
    <t>省份</t>
  </si>
  <si>
    <t>行政区划代码</t>
  </si>
  <si>
    <t>技术市场成交额</t>
    <phoneticPr fontId="1" type="noConversion"/>
  </si>
  <si>
    <t>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</si>
</sst>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2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E40A2B-1C43-4797-B60B-CF4768931CAA}" autoFormatId="16" applyNumberFormats="0" applyBorderFormats="0" applyFontFormats="0" applyPatternFormats="0" applyAlignmentFormats="0" applyWidthHeightFormats="0">
  <queryTableRefresh nextId="7" unboundColumnsRight="2">
    <queryTableFields count="5">
      <queryTableField id="1" name="地区" tableColumnId="1"/>
      <queryTableField id="2" name="属性" tableColumnId="2"/>
      <queryTableField id="3" name="值" tableColumnId="3"/>
      <queryTableField id="6" dataBound="0" tableColumnId="6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16C84B-D7DB-463A-8C2F-8730239082AC}" name="表1_" displayName="表1_" ref="A1:E301" tableType="queryTable" totalsRowShown="0">
  <autoFilter ref="A1:E301" xr:uid="{BF16C84B-D7DB-463A-8C2F-8730239082AC}"/>
  <tableColumns count="5">
    <tableColumn id="1" xr3:uid="{80C4B6C2-1CF3-4FB0-BC04-6CDEEC0DE9EB}" uniqueName="1" name="地区" queryTableFieldId="1"/>
    <tableColumn id="2" xr3:uid="{73A3AFD0-1095-40AA-844B-BE62D618C931}" uniqueName="2" name="年份" queryTableFieldId="2"/>
    <tableColumn id="3" xr3:uid="{DF4982B0-67A2-4F65-88BF-AD10DF144656}" uniqueName="3" name="技术市场成交额" queryTableFieldId="3"/>
    <tableColumn id="6" xr3:uid="{6A9B34DF-F8A0-4C48-8714-C1261A813EAD}" uniqueName="6" name="行政区域" queryTableFieldId="6" dataDxfId="11">
      <calculatedColumnFormula>VLOOKUP(表1_[[#This Row],[地区]],Sheet2!A:B,2,0)</calculatedColumnFormula>
    </tableColumn>
    <tableColumn id="5" xr3:uid="{B16CE44C-F3BF-4B8C-A277-D684B2CEEDAF}" uniqueName="5" name="id" queryTableFieldId="5" dataDxfId="10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D8484-33DF-469D-BBCD-9EA8C5D88452}" name="表1" displayName="表1" ref="A1:K31" totalsRowShown="0">
  <autoFilter ref="A1:K31" xr:uid="{6A9D8484-33DF-469D-BBCD-9EA8C5D88452}"/>
  <tableColumns count="11">
    <tableColumn id="1" xr3:uid="{41525869-42BD-4024-9554-8EB565DC972C}" name="地区"/>
    <tableColumn id="2" xr3:uid="{C32E993F-C1D9-4010-A9BD-E83D010A2D10}" name="2014" dataDxfId="9"/>
    <tableColumn id="3" xr3:uid="{9B511924-F674-4A1E-87F5-3F824B3BEAD7}" name="2015" dataDxfId="8"/>
    <tableColumn id="4" xr3:uid="{E59E81DF-6557-47F1-8343-C7AA4E1AC2F7}" name="2016" dataDxfId="7"/>
    <tableColumn id="5" xr3:uid="{5BAD9498-7B85-4E2C-9122-9671A1F02E24}" name="2017" dataDxfId="6"/>
    <tableColumn id="6" xr3:uid="{A4D96F34-31FA-48AD-A7AB-6BA42685BB65}" name="2018" dataDxfId="5"/>
    <tableColumn id="7" xr3:uid="{F8BBCCB4-67D4-4199-AA59-E4E585747701}" name="2019" dataDxfId="4"/>
    <tableColumn id="8" xr3:uid="{64C33670-6F86-442F-81C7-B6976DC7FE4D}" name="2020" dataDxfId="3"/>
    <tableColumn id="9" xr3:uid="{18F2E2D5-9700-4600-A823-497E7B13B84F}" name="2021" dataDxfId="2"/>
    <tableColumn id="10" xr3:uid="{D89060AB-1ECA-4BF9-BF48-59FF9B2E7CE7}" name="2022" dataDxfId="1"/>
    <tableColumn id="11" xr3:uid="{82F96F99-A3A6-46B9-98E4-E786C02C01BB}" name="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07B8-8BCD-432A-8BD2-06E1BF4B2DBF}">
  <dimension ref="A1:E301"/>
  <sheetViews>
    <sheetView tabSelected="1" topLeftCell="A315" workbookViewId="0">
      <selection activeCell="A302" sqref="A302:XFD315"/>
    </sheetView>
  </sheetViews>
  <sheetFormatPr defaultRowHeight="13.9" x14ac:dyDescent="0.4"/>
  <cols>
    <col min="1" max="2" width="7.1328125" bestFit="1" customWidth="1"/>
    <col min="3" max="3" width="12.19921875" bestFit="1" customWidth="1"/>
    <col min="4" max="4" width="12.19921875" customWidth="1"/>
  </cols>
  <sheetData>
    <row r="1" spans="1:5" x14ac:dyDescent="0.4">
      <c r="A1" t="s">
        <v>30</v>
      </c>
      <c r="B1" t="s">
        <v>47</v>
      </c>
      <c r="C1" t="s">
        <v>46</v>
      </c>
      <c r="D1" t="s">
        <v>42</v>
      </c>
      <c r="E1" t="s">
        <v>43</v>
      </c>
    </row>
    <row r="2" spans="1:5" x14ac:dyDescent="0.4">
      <c r="A2" t="s">
        <v>0</v>
      </c>
      <c r="B2" t="s">
        <v>32</v>
      </c>
      <c r="C2">
        <v>31371853.969999999</v>
      </c>
      <c r="D2">
        <f>VLOOKUP(表1_[[#This Row],[地区]],Sheet2!A:B,2,0)</f>
        <v>110000</v>
      </c>
      <c r="E2">
        <f>表1_[[#This Row],[年份]]+表1_[[#This Row],[行政区域]]</f>
        <v>112014</v>
      </c>
    </row>
    <row r="3" spans="1:5" x14ac:dyDescent="0.4">
      <c r="A3" t="s">
        <v>0</v>
      </c>
      <c r="B3" t="s">
        <v>33</v>
      </c>
      <c r="C3">
        <v>34538854.57</v>
      </c>
      <c r="D3">
        <f>VLOOKUP(表1_[[#This Row],[地区]],Sheet2!A:B,2,0)</f>
        <v>110000</v>
      </c>
      <c r="E3">
        <f>表1_[[#This Row],[年份]]+表1_[[#This Row],[行政区域]]</f>
        <v>112015</v>
      </c>
    </row>
    <row r="4" spans="1:5" x14ac:dyDescent="0.4">
      <c r="A4" t="s">
        <v>0</v>
      </c>
      <c r="B4" t="s">
        <v>34</v>
      </c>
      <c r="C4">
        <v>39409751.789999999</v>
      </c>
      <c r="D4">
        <f>VLOOKUP(表1_[[#This Row],[地区]],Sheet2!A:B,2,0)</f>
        <v>110000</v>
      </c>
      <c r="E4">
        <f>表1_[[#This Row],[年份]]+表1_[[#This Row],[行政区域]]</f>
        <v>112016</v>
      </c>
    </row>
    <row r="5" spans="1:5" x14ac:dyDescent="0.4">
      <c r="A5" t="s">
        <v>0</v>
      </c>
      <c r="B5" t="s">
        <v>35</v>
      </c>
      <c r="C5">
        <v>44868872.020000003</v>
      </c>
      <c r="D5">
        <f>VLOOKUP(表1_[[#This Row],[地区]],Sheet2!A:B,2,0)</f>
        <v>110000</v>
      </c>
      <c r="E5">
        <f>表1_[[#This Row],[年份]]+表1_[[#This Row],[行政区域]]</f>
        <v>112017</v>
      </c>
    </row>
    <row r="6" spans="1:5" x14ac:dyDescent="0.4">
      <c r="A6" t="s">
        <v>0</v>
      </c>
      <c r="B6" t="s">
        <v>36</v>
      </c>
      <c r="C6">
        <v>49578245.590000004</v>
      </c>
      <c r="D6">
        <f>VLOOKUP(表1_[[#This Row],[地区]],Sheet2!A:B,2,0)</f>
        <v>110000</v>
      </c>
      <c r="E6">
        <f>表1_[[#This Row],[年份]]+表1_[[#This Row],[行政区域]]</f>
        <v>112018</v>
      </c>
    </row>
    <row r="7" spans="1:5" x14ac:dyDescent="0.4">
      <c r="A7" t="s">
        <v>0</v>
      </c>
      <c r="B7" t="s">
        <v>37</v>
      </c>
      <c r="C7">
        <v>56952842.57</v>
      </c>
      <c r="D7">
        <f>VLOOKUP(表1_[[#This Row],[地区]],Sheet2!A:B,2,0)</f>
        <v>110000</v>
      </c>
      <c r="E7">
        <f>表1_[[#This Row],[年份]]+表1_[[#This Row],[行政区域]]</f>
        <v>112019</v>
      </c>
    </row>
    <row r="8" spans="1:5" x14ac:dyDescent="0.4">
      <c r="A8" t="s">
        <v>0</v>
      </c>
      <c r="B8" t="s">
        <v>38</v>
      </c>
      <c r="C8">
        <v>63161621.969999999</v>
      </c>
      <c r="D8">
        <f>VLOOKUP(表1_[[#This Row],[地区]],Sheet2!A:B,2,0)</f>
        <v>110000</v>
      </c>
      <c r="E8">
        <f>表1_[[#This Row],[年份]]+表1_[[#This Row],[行政区域]]</f>
        <v>112020</v>
      </c>
    </row>
    <row r="9" spans="1:5" x14ac:dyDescent="0.4">
      <c r="A9" t="s">
        <v>0</v>
      </c>
      <c r="B9" t="s">
        <v>39</v>
      </c>
      <c r="C9">
        <v>70056516.859999999</v>
      </c>
      <c r="D9">
        <f>VLOOKUP(表1_[[#This Row],[地区]],Sheet2!A:B,2,0)</f>
        <v>110000</v>
      </c>
      <c r="E9">
        <f>表1_[[#This Row],[年份]]+表1_[[#This Row],[行政区域]]</f>
        <v>112021</v>
      </c>
    </row>
    <row r="10" spans="1:5" x14ac:dyDescent="0.4">
      <c r="A10" t="s">
        <v>0</v>
      </c>
      <c r="B10" t="s">
        <v>40</v>
      </c>
      <c r="C10">
        <v>79475111</v>
      </c>
      <c r="D10">
        <f>VLOOKUP(表1_[[#This Row],[地区]],Sheet2!A:B,2,0)</f>
        <v>110000</v>
      </c>
      <c r="E10">
        <f>表1_[[#This Row],[年份]]+表1_[[#This Row],[行政区域]]</f>
        <v>112022</v>
      </c>
    </row>
    <row r="11" spans="1:5" x14ac:dyDescent="0.4">
      <c r="A11" t="s">
        <v>0</v>
      </c>
      <c r="B11" t="s">
        <v>41</v>
      </c>
      <c r="C11">
        <v>85369394</v>
      </c>
      <c r="D11">
        <f>VLOOKUP(表1_[[#This Row],[地区]],Sheet2!A:B,2,0)</f>
        <v>110000</v>
      </c>
      <c r="E11">
        <f>表1_[[#This Row],[年份]]+表1_[[#This Row],[行政区域]]</f>
        <v>112023</v>
      </c>
    </row>
    <row r="12" spans="1:5" x14ac:dyDescent="0.4">
      <c r="A12" t="s">
        <v>1</v>
      </c>
      <c r="B12" t="s">
        <v>32</v>
      </c>
      <c r="C12">
        <v>3885630.99</v>
      </c>
      <c r="D12">
        <f>VLOOKUP(表1_[[#This Row],[地区]],Sheet2!A:B,2,0)</f>
        <v>120000</v>
      </c>
      <c r="E12">
        <f>表1_[[#This Row],[年份]]+表1_[[#This Row],[行政区域]]</f>
        <v>122014</v>
      </c>
    </row>
    <row r="13" spans="1:5" x14ac:dyDescent="0.4">
      <c r="A13" t="s">
        <v>1</v>
      </c>
      <c r="B13" t="s">
        <v>33</v>
      </c>
      <c r="C13">
        <v>5034368.6500000004</v>
      </c>
      <c r="D13">
        <f>VLOOKUP(表1_[[#This Row],[地区]],Sheet2!A:B,2,0)</f>
        <v>120000</v>
      </c>
      <c r="E13">
        <f>表1_[[#This Row],[年份]]+表1_[[#This Row],[行政区域]]</f>
        <v>122015</v>
      </c>
    </row>
    <row r="14" spans="1:5" x14ac:dyDescent="0.4">
      <c r="A14" t="s">
        <v>1</v>
      </c>
      <c r="B14" t="s">
        <v>34</v>
      </c>
      <c r="C14">
        <v>5526360.6900000004</v>
      </c>
      <c r="D14">
        <f>VLOOKUP(表1_[[#This Row],[地区]],Sheet2!A:B,2,0)</f>
        <v>120000</v>
      </c>
      <c r="E14">
        <f>表1_[[#This Row],[年份]]+表1_[[#This Row],[行政区域]]</f>
        <v>122016</v>
      </c>
    </row>
    <row r="15" spans="1:5" x14ac:dyDescent="0.4">
      <c r="A15" t="s">
        <v>1</v>
      </c>
      <c r="B15" t="s">
        <v>35</v>
      </c>
      <c r="C15">
        <v>5514410.5199999996</v>
      </c>
      <c r="D15">
        <f>VLOOKUP(表1_[[#This Row],[地区]],Sheet2!A:B,2,0)</f>
        <v>120000</v>
      </c>
      <c r="E15">
        <f>表1_[[#This Row],[年份]]+表1_[[#This Row],[行政区域]]</f>
        <v>122017</v>
      </c>
    </row>
    <row r="16" spans="1:5" x14ac:dyDescent="0.4">
      <c r="A16" t="s">
        <v>1</v>
      </c>
      <c r="B16" t="s">
        <v>36</v>
      </c>
      <c r="C16">
        <v>6855875.4000000004</v>
      </c>
      <c r="D16">
        <f>VLOOKUP(表1_[[#This Row],[地区]],Sheet2!A:B,2,0)</f>
        <v>120000</v>
      </c>
      <c r="E16">
        <f>表1_[[#This Row],[年份]]+表1_[[#This Row],[行政区域]]</f>
        <v>122018</v>
      </c>
    </row>
    <row r="17" spans="1:5" x14ac:dyDescent="0.4">
      <c r="A17" t="s">
        <v>1</v>
      </c>
      <c r="B17" t="s">
        <v>37</v>
      </c>
      <c r="C17">
        <v>9092549.4399999995</v>
      </c>
      <c r="D17">
        <f>VLOOKUP(表1_[[#This Row],[地区]],Sheet2!A:B,2,0)</f>
        <v>120000</v>
      </c>
      <c r="E17">
        <f>表1_[[#This Row],[年份]]+表1_[[#This Row],[行政区域]]</f>
        <v>122019</v>
      </c>
    </row>
    <row r="18" spans="1:5" x14ac:dyDescent="0.4">
      <c r="A18" t="s">
        <v>1</v>
      </c>
      <c r="B18" t="s">
        <v>38</v>
      </c>
      <c r="C18">
        <v>10895598.109999999</v>
      </c>
      <c r="D18">
        <f>VLOOKUP(表1_[[#This Row],[地区]],Sheet2!A:B,2,0)</f>
        <v>120000</v>
      </c>
      <c r="E18">
        <f>表1_[[#This Row],[年份]]+表1_[[#This Row],[行政区域]]</f>
        <v>122020</v>
      </c>
    </row>
    <row r="19" spans="1:5" x14ac:dyDescent="0.4">
      <c r="A19" t="s">
        <v>1</v>
      </c>
      <c r="B19" t="s">
        <v>39</v>
      </c>
      <c r="C19">
        <v>12568261.77</v>
      </c>
      <c r="D19">
        <f>VLOOKUP(表1_[[#This Row],[地区]],Sheet2!A:B,2,0)</f>
        <v>120000</v>
      </c>
      <c r="E19">
        <f>表1_[[#This Row],[年份]]+表1_[[#This Row],[行政区域]]</f>
        <v>122021</v>
      </c>
    </row>
    <row r="20" spans="1:5" x14ac:dyDescent="0.4">
      <c r="A20" t="s">
        <v>1</v>
      </c>
      <c r="B20" t="s">
        <v>40</v>
      </c>
      <c r="C20">
        <v>16508667</v>
      </c>
      <c r="D20">
        <f>VLOOKUP(表1_[[#This Row],[地区]],Sheet2!A:B,2,0)</f>
        <v>120000</v>
      </c>
      <c r="E20">
        <f>表1_[[#This Row],[年份]]+表1_[[#This Row],[行政区域]]</f>
        <v>122022</v>
      </c>
    </row>
    <row r="21" spans="1:5" x14ac:dyDescent="0.4">
      <c r="A21" t="s">
        <v>1</v>
      </c>
      <c r="B21" t="s">
        <v>41</v>
      </c>
      <c r="C21">
        <v>19285572</v>
      </c>
      <c r="D21">
        <f>VLOOKUP(表1_[[#This Row],[地区]],Sheet2!A:B,2,0)</f>
        <v>120000</v>
      </c>
      <c r="E21">
        <f>表1_[[#This Row],[年份]]+表1_[[#This Row],[行政区域]]</f>
        <v>122023</v>
      </c>
    </row>
    <row r="22" spans="1:5" x14ac:dyDescent="0.4">
      <c r="A22" t="s">
        <v>2</v>
      </c>
      <c r="B22" t="s">
        <v>32</v>
      </c>
      <c r="C22">
        <v>292228.38</v>
      </c>
      <c r="D22">
        <f>VLOOKUP(表1_[[#This Row],[地区]],Sheet2!A:B,2,0)</f>
        <v>130000</v>
      </c>
      <c r="E22">
        <f>表1_[[#This Row],[年份]]+表1_[[#This Row],[行政区域]]</f>
        <v>132014</v>
      </c>
    </row>
    <row r="23" spans="1:5" x14ac:dyDescent="0.4">
      <c r="A23" t="s">
        <v>2</v>
      </c>
      <c r="B23" t="s">
        <v>33</v>
      </c>
      <c r="C23">
        <v>395437.7</v>
      </c>
      <c r="D23">
        <f>VLOOKUP(表1_[[#This Row],[地区]],Sheet2!A:B,2,0)</f>
        <v>130000</v>
      </c>
      <c r="E23">
        <f>表1_[[#This Row],[年份]]+表1_[[#This Row],[行政区域]]</f>
        <v>132015</v>
      </c>
    </row>
    <row r="24" spans="1:5" x14ac:dyDescent="0.4">
      <c r="A24" t="s">
        <v>2</v>
      </c>
      <c r="B24" t="s">
        <v>34</v>
      </c>
      <c r="C24">
        <v>589959.28</v>
      </c>
      <c r="D24">
        <f>VLOOKUP(表1_[[#This Row],[地区]],Sheet2!A:B,2,0)</f>
        <v>130000</v>
      </c>
      <c r="E24">
        <f>表1_[[#This Row],[年份]]+表1_[[#This Row],[行政区域]]</f>
        <v>132016</v>
      </c>
    </row>
    <row r="25" spans="1:5" x14ac:dyDescent="0.4">
      <c r="A25" t="s">
        <v>2</v>
      </c>
      <c r="B25" t="s">
        <v>35</v>
      </c>
      <c r="C25">
        <v>889244.7</v>
      </c>
      <c r="D25">
        <f>VLOOKUP(表1_[[#This Row],[地区]],Sheet2!A:B,2,0)</f>
        <v>130000</v>
      </c>
      <c r="E25">
        <f>表1_[[#This Row],[年份]]+表1_[[#This Row],[行政区域]]</f>
        <v>132017</v>
      </c>
    </row>
    <row r="26" spans="1:5" x14ac:dyDescent="0.4">
      <c r="A26" t="s">
        <v>2</v>
      </c>
      <c r="B26" t="s">
        <v>36</v>
      </c>
      <c r="C26">
        <v>2759840.07</v>
      </c>
      <c r="D26">
        <f>VLOOKUP(表1_[[#This Row],[地区]],Sheet2!A:B,2,0)</f>
        <v>130000</v>
      </c>
      <c r="E26">
        <f>表1_[[#This Row],[年份]]+表1_[[#This Row],[行政区域]]</f>
        <v>132018</v>
      </c>
    </row>
    <row r="27" spans="1:5" x14ac:dyDescent="0.4">
      <c r="A27" t="s">
        <v>2</v>
      </c>
      <c r="B27" t="s">
        <v>37</v>
      </c>
      <c r="C27">
        <v>3811904.43</v>
      </c>
      <c r="D27">
        <f>VLOOKUP(表1_[[#This Row],[地区]],Sheet2!A:B,2,0)</f>
        <v>130000</v>
      </c>
      <c r="E27">
        <f>表1_[[#This Row],[年份]]+表1_[[#This Row],[行政区域]]</f>
        <v>132019</v>
      </c>
    </row>
    <row r="28" spans="1:5" x14ac:dyDescent="0.4">
      <c r="A28" t="s">
        <v>2</v>
      </c>
      <c r="B28" t="s">
        <v>38</v>
      </c>
      <c r="C28">
        <v>5549645.8799999999</v>
      </c>
      <c r="D28">
        <f>VLOOKUP(表1_[[#This Row],[地区]],Sheet2!A:B,2,0)</f>
        <v>130000</v>
      </c>
      <c r="E28">
        <f>表1_[[#This Row],[年份]]+表1_[[#This Row],[行政区域]]</f>
        <v>132020</v>
      </c>
    </row>
    <row r="29" spans="1:5" x14ac:dyDescent="0.4">
      <c r="A29" t="s">
        <v>2</v>
      </c>
      <c r="B29" t="s">
        <v>39</v>
      </c>
      <c r="C29">
        <v>7473181.7400000002</v>
      </c>
      <c r="D29">
        <f>VLOOKUP(表1_[[#This Row],[地区]],Sheet2!A:B,2,0)</f>
        <v>130000</v>
      </c>
      <c r="E29">
        <f>表1_[[#This Row],[年份]]+表1_[[#This Row],[行政区域]]</f>
        <v>132021</v>
      </c>
    </row>
    <row r="30" spans="1:5" x14ac:dyDescent="0.4">
      <c r="A30" t="s">
        <v>2</v>
      </c>
      <c r="B30" t="s">
        <v>40</v>
      </c>
      <c r="C30">
        <v>10038253</v>
      </c>
      <c r="D30">
        <f>VLOOKUP(表1_[[#This Row],[地区]],Sheet2!A:B,2,0)</f>
        <v>130000</v>
      </c>
      <c r="E30">
        <f>表1_[[#This Row],[年份]]+表1_[[#This Row],[行政区域]]</f>
        <v>132022</v>
      </c>
    </row>
    <row r="31" spans="1:5" x14ac:dyDescent="0.4">
      <c r="A31" t="s">
        <v>2</v>
      </c>
      <c r="B31" t="s">
        <v>41</v>
      </c>
      <c r="C31">
        <v>17830882</v>
      </c>
      <c r="D31">
        <f>VLOOKUP(表1_[[#This Row],[地区]],Sheet2!A:B,2,0)</f>
        <v>130000</v>
      </c>
      <c r="E31">
        <f>表1_[[#This Row],[年份]]+表1_[[#This Row],[行政区域]]</f>
        <v>132023</v>
      </c>
    </row>
    <row r="32" spans="1:5" x14ac:dyDescent="0.4">
      <c r="A32" t="s">
        <v>3</v>
      </c>
      <c r="B32" t="s">
        <v>32</v>
      </c>
      <c r="C32">
        <v>484595.04</v>
      </c>
      <c r="D32">
        <f>VLOOKUP(表1_[[#This Row],[地区]],Sheet2!A:B,2,0)</f>
        <v>140000</v>
      </c>
      <c r="E32">
        <f>表1_[[#This Row],[年份]]+表1_[[#This Row],[行政区域]]</f>
        <v>142014</v>
      </c>
    </row>
    <row r="33" spans="1:5" x14ac:dyDescent="0.4">
      <c r="A33" t="s">
        <v>3</v>
      </c>
      <c r="B33" t="s">
        <v>33</v>
      </c>
      <c r="C33">
        <v>512007.14</v>
      </c>
      <c r="D33">
        <f>VLOOKUP(表1_[[#This Row],[地区]],Sheet2!A:B,2,0)</f>
        <v>140000</v>
      </c>
      <c r="E33">
        <f>表1_[[#This Row],[年份]]+表1_[[#This Row],[行政区域]]</f>
        <v>142015</v>
      </c>
    </row>
    <row r="34" spans="1:5" x14ac:dyDescent="0.4">
      <c r="A34" t="s">
        <v>3</v>
      </c>
      <c r="B34" t="s">
        <v>34</v>
      </c>
      <c r="C34">
        <v>425621.67</v>
      </c>
      <c r="D34">
        <f>VLOOKUP(表1_[[#This Row],[地区]],Sheet2!A:B,2,0)</f>
        <v>140000</v>
      </c>
      <c r="E34">
        <f>表1_[[#This Row],[年份]]+表1_[[#This Row],[行政区域]]</f>
        <v>142016</v>
      </c>
    </row>
    <row r="35" spans="1:5" x14ac:dyDescent="0.4">
      <c r="A35" t="s">
        <v>3</v>
      </c>
      <c r="B35" t="s">
        <v>35</v>
      </c>
      <c r="C35">
        <v>941470.77</v>
      </c>
      <c r="D35">
        <f>VLOOKUP(表1_[[#This Row],[地区]],Sheet2!A:B,2,0)</f>
        <v>140000</v>
      </c>
      <c r="E35">
        <f>表1_[[#This Row],[年份]]+表1_[[#This Row],[行政区域]]</f>
        <v>142017</v>
      </c>
    </row>
    <row r="36" spans="1:5" x14ac:dyDescent="0.4">
      <c r="A36" t="s">
        <v>3</v>
      </c>
      <c r="B36" t="s">
        <v>36</v>
      </c>
      <c r="C36">
        <v>1507566.61</v>
      </c>
      <c r="D36">
        <f>VLOOKUP(表1_[[#This Row],[地区]],Sheet2!A:B,2,0)</f>
        <v>140000</v>
      </c>
      <c r="E36">
        <f>表1_[[#This Row],[年份]]+表1_[[#This Row],[行政区域]]</f>
        <v>142018</v>
      </c>
    </row>
    <row r="37" spans="1:5" x14ac:dyDescent="0.4">
      <c r="A37" t="s">
        <v>3</v>
      </c>
      <c r="B37" t="s">
        <v>37</v>
      </c>
      <c r="C37">
        <v>1095226.93</v>
      </c>
      <c r="D37">
        <f>VLOOKUP(表1_[[#This Row],[地区]],Sheet2!A:B,2,0)</f>
        <v>140000</v>
      </c>
      <c r="E37">
        <f>表1_[[#This Row],[年份]]+表1_[[#This Row],[行政区域]]</f>
        <v>142019</v>
      </c>
    </row>
    <row r="38" spans="1:5" x14ac:dyDescent="0.4">
      <c r="A38" t="s">
        <v>3</v>
      </c>
      <c r="B38" t="s">
        <v>38</v>
      </c>
      <c r="C38">
        <v>449790.7</v>
      </c>
      <c r="D38">
        <f>VLOOKUP(表1_[[#This Row],[地区]],Sheet2!A:B,2,0)</f>
        <v>140000</v>
      </c>
      <c r="E38">
        <f>表1_[[#This Row],[年份]]+表1_[[#This Row],[行政区域]]</f>
        <v>142020</v>
      </c>
    </row>
    <row r="39" spans="1:5" x14ac:dyDescent="0.4">
      <c r="A39" t="s">
        <v>3</v>
      </c>
      <c r="B39" t="s">
        <v>39</v>
      </c>
      <c r="C39">
        <v>1344736.57</v>
      </c>
      <c r="D39">
        <f>VLOOKUP(表1_[[#This Row],[地区]],Sheet2!A:B,2,0)</f>
        <v>140000</v>
      </c>
      <c r="E39">
        <f>表1_[[#This Row],[年份]]+表1_[[#This Row],[行政区域]]</f>
        <v>142021</v>
      </c>
    </row>
    <row r="40" spans="1:5" x14ac:dyDescent="0.4">
      <c r="A40" t="s">
        <v>3</v>
      </c>
      <c r="B40" t="s">
        <v>40</v>
      </c>
      <c r="C40">
        <v>1614346</v>
      </c>
      <c r="D40">
        <f>VLOOKUP(表1_[[#This Row],[地区]],Sheet2!A:B,2,0)</f>
        <v>140000</v>
      </c>
      <c r="E40">
        <f>表1_[[#This Row],[年份]]+表1_[[#This Row],[行政区域]]</f>
        <v>142022</v>
      </c>
    </row>
    <row r="41" spans="1:5" x14ac:dyDescent="0.4">
      <c r="A41" t="s">
        <v>3</v>
      </c>
      <c r="B41" t="s">
        <v>41</v>
      </c>
      <c r="C41">
        <v>2238585</v>
      </c>
      <c r="D41">
        <f>VLOOKUP(表1_[[#This Row],[地区]],Sheet2!A:B,2,0)</f>
        <v>140000</v>
      </c>
      <c r="E41">
        <f>表1_[[#This Row],[年份]]+表1_[[#This Row],[行政区域]]</f>
        <v>142023</v>
      </c>
    </row>
    <row r="42" spans="1:5" x14ac:dyDescent="0.4">
      <c r="A42" t="s">
        <v>4</v>
      </c>
      <c r="B42" t="s">
        <v>32</v>
      </c>
      <c r="C42">
        <v>139393.15</v>
      </c>
      <c r="D42">
        <f>VLOOKUP(表1_[[#This Row],[地区]],Sheet2!A:B,2,0)</f>
        <v>150000</v>
      </c>
      <c r="E42">
        <f>表1_[[#This Row],[年份]]+表1_[[#This Row],[行政区域]]</f>
        <v>152014</v>
      </c>
    </row>
    <row r="43" spans="1:5" x14ac:dyDescent="0.4">
      <c r="A43" t="s">
        <v>4</v>
      </c>
      <c r="B43" t="s">
        <v>33</v>
      </c>
      <c r="C43">
        <v>153871.51999999999</v>
      </c>
      <c r="D43">
        <f>VLOOKUP(表1_[[#This Row],[地区]],Sheet2!A:B,2,0)</f>
        <v>150000</v>
      </c>
      <c r="E43">
        <f>表1_[[#This Row],[年份]]+表1_[[#This Row],[行政区域]]</f>
        <v>152015</v>
      </c>
    </row>
    <row r="44" spans="1:5" x14ac:dyDescent="0.4">
      <c r="A44" t="s">
        <v>4</v>
      </c>
      <c r="B44" t="s">
        <v>34</v>
      </c>
      <c r="C44">
        <v>120492.04</v>
      </c>
      <c r="D44">
        <f>VLOOKUP(表1_[[#This Row],[地区]],Sheet2!A:B,2,0)</f>
        <v>150000</v>
      </c>
      <c r="E44">
        <f>表1_[[#This Row],[年份]]+表1_[[#This Row],[行政区域]]</f>
        <v>152016</v>
      </c>
    </row>
    <row r="45" spans="1:5" x14ac:dyDescent="0.4">
      <c r="A45" t="s">
        <v>4</v>
      </c>
      <c r="B45" t="s">
        <v>35</v>
      </c>
      <c r="C45">
        <v>196086.81</v>
      </c>
      <c r="D45">
        <f>VLOOKUP(表1_[[#This Row],[地区]],Sheet2!A:B,2,0)</f>
        <v>150000</v>
      </c>
      <c r="E45">
        <f>表1_[[#This Row],[年份]]+表1_[[#This Row],[行政区域]]</f>
        <v>152017</v>
      </c>
    </row>
    <row r="46" spans="1:5" x14ac:dyDescent="0.4">
      <c r="A46" t="s">
        <v>4</v>
      </c>
      <c r="B46" t="s">
        <v>36</v>
      </c>
      <c r="C46">
        <v>198398.31</v>
      </c>
      <c r="D46">
        <f>VLOOKUP(表1_[[#This Row],[地区]],Sheet2!A:B,2,0)</f>
        <v>150000</v>
      </c>
      <c r="E46">
        <f>表1_[[#This Row],[年份]]+表1_[[#This Row],[行政区域]]</f>
        <v>152018</v>
      </c>
    </row>
    <row r="47" spans="1:5" x14ac:dyDescent="0.4">
      <c r="A47" t="s">
        <v>4</v>
      </c>
      <c r="B47" t="s">
        <v>37</v>
      </c>
      <c r="C47">
        <v>224792.6</v>
      </c>
      <c r="D47">
        <f>VLOOKUP(表1_[[#This Row],[地区]],Sheet2!A:B,2,0)</f>
        <v>150000</v>
      </c>
      <c r="E47">
        <f>表1_[[#This Row],[年份]]+表1_[[#This Row],[行政区域]]</f>
        <v>152019</v>
      </c>
    </row>
    <row r="48" spans="1:5" x14ac:dyDescent="0.4">
      <c r="A48" t="s">
        <v>4</v>
      </c>
      <c r="B48" t="s">
        <v>38</v>
      </c>
      <c r="C48">
        <v>359540.31</v>
      </c>
      <c r="D48">
        <f>VLOOKUP(表1_[[#This Row],[地区]],Sheet2!A:B,2,0)</f>
        <v>150000</v>
      </c>
      <c r="E48">
        <f>表1_[[#This Row],[年份]]+表1_[[#This Row],[行政区域]]</f>
        <v>152020</v>
      </c>
    </row>
    <row r="49" spans="1:5" x14ac:dyDescent="0.4">
      <c r="A49" t="s">
        <v>4</v>
      </c>
      <c r="B49" t="s">
        <v>39</v>
      </c>
      <c r="C49">
        <v>411477.75</v>
      </c>
      <c r="D49">
        <f>VLOOKUP(表1_[[#This Row],[地区]],Sheet2!A:B,2,0)</f>
        <v>150000</v>
      </c>
      <c r="E49">
        <f>表1_[[#This Row],[年份]]+表1_[[#This Row],[行政区域]]</f>
        <v>152021</v>
      </c>
    </row>
    <row r="50" spans="1:5" x14ac:dyDescent="0.4">
      <c r="A50" t="s">
        <v>4</v>
      </c>
      <c r="B50" t="s">
        <v>40</v>
      </c>
      <c r="C50">
        <v>512988</v>
      </c>
      <c r="D50">
        <f>VLOOKUP(表1_[[#This Row],[地区]],Sheet2!A:B,2,0)</f>
        <v>150000</v>
      </c>
      <c r="E50">
        <f>表1_[[#This Row],[年份]]+表1_[[#This Row],[行政区域]]</f>
        <v>152022</v>
      </c>
    </row>
    <row r="51" spans="1:5" x14ac:dyDescent="0.4">
      <c r="A51" t="s">
        <v>4</v>
      </c>
      <c r="B51" t="s">
        <v>41</v>
      </c>
      <c r="C51">
        <v>609824</v>
      </c>
      <c r="D51">
        <f>VLOOKUP(表1_[[#This Row],[地区]],Sheet2!A:B,2,0)</f>
        <v>150000</v>
      </c>
      <c r="E51">
        <f>表1_[[#This Row],[年份]]+表1_[[#This Row],[行政区域]]</f>
        <v>152023</v>
      </c>
    </row>
    <row r="52" spans="1:5" x14ac:dyDescent="0.4">
      <c r="A52" t="s">
        <v>5</v>
      </c>
      <c r="B52" t="s">
        <v>32</v>
      </c>
      <c r="C52">
        <v>2174648.02</v>
      </c>
      <c r="D52">
        <f>VLOOKUP(表1_[[#This Row],[地区]],Sheet2!A:B,2,0)</f>
        <v>210000</v>
      </c>
      <c r="E52">
        <f>表1_[[#This Row],[年份]]+表1_[[#This Row],[行政区域]]</f>
        <v>212014</v>
      </c>
    </row>
    <row r="53" spans="1:5" x14ac:dyDescent="0.4">
      <c r="A53" t="s">
        <v>5</v>
      </c>
      <c r="B53" t="s">
        <v>33</v>
      </c>
      <c r="C53">
        <v>2674926.94</v>
      </c>
      <c r="D53">
        <f>VLOOKUP(表1_[[#This Row],[地区]],Sheet2!A:B,2,0)</f>
        <v>210000</v>
      </c>
      <c r="E53">
        <f>表1_[[#This Row],[年份]]+表1_[[#This Row],[行政区域]]</f>
        <v>212015</v>
      </c>
    </row>
    <row r="54" spans="1:5" x14ac:dyDescent="0.4">
      <c r="A54" t="s">
        <v>5</v>
      </c>
      <c r="B54" t="s">
        <v>34</v>
      </c>
      <c r="C54">
        <v>3232179.58</v>
      </c>
      <c r="D54">
        <f>VLOOKUP(表1_[[#This Row],[地区]],Sheet2!A:B,2,0)</f>
        <v>210000</v>
      </c>
      <c r="E54">
        <f>表1_[[#This Row],[年份]]+表1_[[#This Row],[行政区域]]</f>
        <v>212016</v>
      </c>
    </row>
    <row r="55" spans="1:5" x14ac:dyDescent="0.4">
      <c r="A55" t="s">
        <v>5</v>
      </c>
      <c r="B55" t="s">
        <v>35</v>
      </c>
      <c r="C55">
        <v>3858316.82</v>
      </c>
      <c r="D55">
        <f>VLOOKUP(表1_[[#This Row],[地区]],Sheet2!A:B,2,0)</f>
        <v>210000</v>
      </c>
      <c r="E55">
        <f>表1_[[#This Row],[年份]]+表1_[[#This Row],[行政区域]]</f>
        <v>212017</v>
      </c>
    </row>
    <row r="56" spans="1:5" x14ac:dyDescent="0.4">
      <c r="A56" t="s">
        <v>5</v>
      </c>
      <c r="B56" t="s">
        <v>36</v>
      </c>
      <c r="C56">
        <v>4744910.34</v>
      </c>
      <c r="D56">
        <f>VLOOKUP(表1_[[#This Row],[地区]],Sheet2!A:B,2,0)</f>
        <v>210000</v>
      </c>
      <c r="E56">
        <f>表1_[[#This Row],[年份]]+表1_[[#This Row],[行政区域]]</f>
        <v>212018</v>
      </c>
    </row>
    <row r="57" spans="1:5" x14ac:dyDescent="0.4">
      <c r="A57" t="s">
        <v>5</v>
      </c>
      <c r="B57" t="s">
        <v>37</v>
      </c>
      <c r="C57">
        <v>5575904.1100000003</v>
      </c>
      <c r="D57">
        <f>VLOOKUP(表1_[[#This Row],[地区]],Sheet2!A:B,2,0)</f>
        <v>210000</v>
      </c>
      <c r="E57">
        <f>表1_[[#This Row],[年份]]+表1_[[#This Row],[行政区域]]</f>
        <v>212019</v>
      </c>
    </row>
    <row r="58" spans="1:5" x14ac:dyDescent="0.4">
      <c r="A58" t="s">
        <v>5</v>
      </c>
      <c r="B58" t="s">
        <v>38</v>
      </c>
      <c r="C58">
        <v>6328126.4299999997</v>
      </c>
      <c r="D58">
        <f>VLOOKUP(表1_[[#This Row],[地区]],Sheet2!A:B,2,0)</f>
        <v>210000</v>
      </c>
      <c r="E58">
        <f>表1_[[#This Row],[年份]]+表1_[[#This Row],[行政区域]]</f>
        <v>212020</v>
      </c>
    </row>
    <row r="59" spans="1:5" x14ac:dyDescent="0.4">
      <c r="A59" t="s">
        <v>5</v>
      </c>
      <c r="B59" t="s">
        <v>39</v>
      </c>
      <c r="C59">
        <v>7551239.75</v>
      </c>
      <c r="D59">
        <f>VLOOKUP(表1_[[#This Row],[地区]],Sheet2!A:B,2,0)</f>
        <v>210000</v>
      </c>
      <c r="E59">
        <f>表1_[[#This Row],[年份]]+表1_[[#This Row],[行政区域]]</f>
        <v>212021</v>
      </c>
    </row>
    <row r="60" spans="1:5" x14ac:dyDescent="0.4">
      <c r="A60" t="s">
        <v>5</v>
      </c>
      <c r="B60" t="s">
        <v>40</v>
      </c>
      <c r="C60">
        <v>9713459</v>
      </c>
      <c r="D60">
        <f>VLOOKUP(表1_[[#This Row],[地区]],Sheet2!A:B,2,0)</f>
        <v>210000</v>
      </c>
      <c r="E60">
        <f>表1_[[#This Row],[年份]]+表1_[[#This Row],[行政区域]]</f>
        <v>212022</v>
      </c>
    </row>
    <row r="61" spans="1:5" x14ac:dyDescent="0.4">
      <c r="A61" t="s">
        <v>5</v>
      </c>
      <c r="B61" t="s">
        <v>41</v>
      </c>
      <c r="C61">
        <v>12890739</v>
      </c>
      <c r="D61">
        <f>VLOOKUP(表1_[[#This Row],[地区]],Sheet2!A:B,2,0)</f>
        <v>210000</v>
      </c>
      <c r="E61">
        <f>表1_[[#This Row],[年份]]+表1_[[#This Row],[行政区域]]</f>
        <v>212023</v>
      </c>
    </row>
    <row r="62" spans="1:5" x14ac:dyDescent="0.4">
      <c r="A62" t="s">
        <v>6</v>
      </c>
      <c r="B62" t="s">
        <v>32</v>
      </c>
      <c r="C62">
        <v>285755.96000000002</v>
      </c>
      <c r="D62">
        <f>VLOOKUP(表1_[[#This Row],[地区]],Sheet2!A:B,2,0)</f>
        <v>220000</v>
      </c>
      <c r="E62">
        <f>表1_[[#This Row],[年份]]+表1_[[#This Row],[行政区域]]</f>
        <v>222014</v>
      </c>
    </row>
    <row r="63" spans="1:5" x14ac:dyDescent="0.4">
      <c r="A63" t="s">
        <v>6</v>
      </c>
      <c r="B63" t="s">
        <v>33</v>
      </c>
      <c r="C63">
        <v>264697.09999999998</v>
      </c>
      <c r="D63">
        <f>VLOOKUP(表1_[[#This Row],[地区]],Sheet2!A:B,2,0)</f>
        <v>220000</v>
      </c>
      <c r="E63">
        <f>表1_[[#This Row],[年份]]+表1_[[#This Row],[行政区域]]</f>
        <v>222015</v>
      </c>
    </row>
    <row r="64" spans="1:5" x14ac:dyDescent="0.4">
      <c r="A64" t="s">
        <v>6</v>
      </c>
      <c r="B64" t="s">
        <v>34</v>
      </c>
      <c r="C64">
        <v>1164197.79</v>
      </c>
      <c r="D64">
        <f>VLOOKUP(表1_[[#This Row],[地区]],Sheet2!A:B,2,0)</f>
        <v>220000</v>
      </c>
      <c r="E64">
        <f>表1_[[#This Row],[年份]]+表1_[[#This Row],[行政区域]]</f>
        <v>222016</v>
      </c>
    </row>
    <row r="65" spans="1:5" x14ac:dyDescent="0.4">
      <c r="A65" t="s">
        <v>6</v>
      </c>
      <c r="B65" t="s">
        <v>35</v>
      </c>
      <c r="C65">
        <v>2199199.46</v>
      </c>
      <c r="D65">
        <f>VLOOKUP(表1_[[#This Row],[地区]],Sheet2!A:B,2,0)</f>
        <v>220000</v>
      </c>
      <c r="E65">
        <f>表1_[[#This Row],[年份]]+表1_[[#This Row],[行政区域]]</f>
        <v>222017</v>
      </c>
    </row>
    <row r="66" spans="1:5" x14ac:dyDescent="0.4">
      <c r="A66" t="s">
        <v>6</v>
      </c>
      <c r="B66" t="s">
        <v>36</v>
      </c>
      <c r="C66">
        <v>3419460.34</v>
      </c>
      <c r="D66">
        <f>VLOOKUP(表1_[[#This Row],[地区]],Sheet2!A:B,2,0)</f>
        <v>220000</v>
      </c>
      <c r="E66">
        <f>表1_[[#This Row],[年份]]+表1_[[#This Row],[行政区域]]</f>
        <v>222018</v>
      </c>
    </row>
    <row r="67" spans="1:5" x14ac:dyDescent="0.4">
      <c r="A67" t="s">
        <v>6</v>
      </c>
      <c r="B67" t="s">
        <v>37</v>
      </c>
      <c r="C67">
        <v>4741326.88</v>
      </c>
      <c r="D67">
        <f>VLOOKUP(表1_[[#This Row],[地区]],Sheet2!A:B,2,0)</f>
        <v>220000</v>
      </c>
      <c r="E67">
        <f>表1_[[#This Row],[年份]]+表1_[[#This Row],[行政区域]]</f>
        <v>222019</v>
      </c>
    </row>
    <row r="68" spans="1:5" x14ac:dyDescent="0.4">
      <c r="A68" t="s">
        <v>6</v>
      </c>
      <c r="B68" t="s">
        <v>38</v>
      </c>
      <c r="C68">
        <v>4621541.22</v>
      </c>
      <c r="D68">
        <f>VLOOKUP(表1_[[#This Row],[地区]],Sheet2!A:B,2,0)</f>
        <v>220000</v>
      </c>
      <c r="E68">
        <f>表1_[[#This Row],[年份]]+表1_[[#This Row],[行政区域]]</f>
        <v>222020</v>
      </c>
    </row>
    <row r="69" spans="1:5" x14ac:dyDescent="0.4">
      <c r="A69" t="s">
        <v>6</v>
      </c>
      <c r="B69" t="s">
        <v>39</v>
      </c>
      <c r="C69">
        <v>1081467.52</v>
      </c>
      <c r="D69">
        <f>VLOOKUP(表1_[[#This Row],[地区]],Sheet2!A:B,2,0)</f>
        <v>220000</v>
      </c>
      <c r="E69">
        <f>表1_[[#This Row],[年份]]+表1_[[#This Row],[行政区域]]</f>
        <v>222021</v>
      </c>
    </row>
    <row r="70" spans="1:5" x14ac:dyDescent="0.4">
      <c r="A70" t="s">
        <v>6</v>
      </c>
      <c r="B70" t="s">
        <v>40</v>
      </c>
      <c r="C70">
        <v>369481</v>
      </c>
      <c r="D70">
        <f>VLOOKUP(表1_[[#This Row],[地区]],Sheet2!A:B,2,0)</f>
        <v>220000</v>
      </c>
      <c r="E70">
        <f>表1_[[#This Row],[年份]]+表1_[[#This Row],[行政区域]]</f>
        <v>222022</v>
      </c>
    </row>
    <row r="71" spans="1:5" x14ac:dyDescent="0.4">
      <c r="A71" t="s">
        <v>6</v>
      </c>
      <c r="B71" t="s">
        <v>41</v>
      </c>
      <c r="C71">
        <v>839977</v>
      </c>
      <c r="D71">
        <f>VLOOKUP(表1_[[#This Row],[地区]],Sheet2!A:B,2,0)</f>
        <v>220000</v>
      </c>
      <c r="E71">
        <f>表1_[[#This Row],[年份]]+表1_[[#This Row],[行政区域]]</f>
        <v>222023</v>
      </c>
    </row>
    <row r="72" spans="1:5" x14ac:dyDescent="0.4">
      <c r="A72" t="s">
        <v>7</v>
      </c>
      <c r="B72" t="s">
        <v>32</v>
      </c>
      <c r="C72">
        <v>1202775.76</v>
      </c>
      <c r="D72">
        <f>VLOOKUP(表1_[[#This Row],[地区]],Sheet2!A:B,2,0)</f>
        <v>230000</v>
      </c>
      <c r="E72">
        <f>表1_[[#This Row],[年份]]+表1_[[#This Row],[行政区域]]</f>
        <v>232014</v>
      </c>
    </row>
    <row r="73" spans="1:5" x14ac:dyDescent="0.4">
      <c r="A73" t="s">
        <v>7</v>
      </c>
      <c r="B73" t="s">
        <v>33</v>
      </c>
      <c r="C73">
        <v>1272637.27</v>
      </c>
      <c r="D73">
        <f>VLOOKUP(表1_[[#This Row],[地区]],Sheet2!A:B,2,0)</f>
        <v>230000</v>
      </c>
      <c r="E73">
        <f>表1_[[#This Row],[年份]]+表1_[[#This Row],[行政区域]]</f>
        <v>232015</v>
      </c>
    </row>
    <row r="74" spans="1:5" x14ac:dyDescent="0.4">
      <c r="A74" t="s">
        <v>7</v>
      </c>
      <c r="B74" t="s">
        <v>34</v>
      </c>
      <c r="C74">
        <v>1258091.1200000001</v>
      </c>
      <c r="D74">
        <f>VLOOKUP(表1_[[#This Row],[地区]],Sheet2!A:B,2,0)</f>
        <v>230000</v>
      </c>
      <c r="E74">
        <f>表1_[[#This Row],[年份]]+表1_[[#This Row],[行政区域]]</f>
        <v>232016</v>
      </c>
    </row>
    <row r="75" spans="1:5" x14ac:dyDescent="0.4">
      <c r="A75" t="s">
        <v>7</v>
      </c>
      <c r="B75" t="s">
        <v>35</v>
      </c>
      <c r="C75">
        <v>1467120.9</v>
      </c>
      <c r="D75">
        <f>VLOOKUP(表1_[[#This Row],[地区]],Sheet2!A:B,2,0)</f>
        <v>230000</v>
      </c>
      <c r="E75">
        <f>表1_[[#This Row],[年份]]+表1_[[#This Row],[行政区域]]</f>
        <v>232017</v>
      </c>
    </row>
    <row r="76" spans="1:5" x14ac:dyDescent="0.4">
      <c r="A76" t="s">
        <v>7</v>
      </c>
      <c r="B76" t="s">
        <v>36</v>
      </c>
      <c r="C76">
        <v>1659200.39</v>
      </c>
      <c r="D76">
        <f>VLOOKUP(表1_[[#This Row],[地区]],Sheet2!A:B,2,0)</f>
        <v>230000</v>
      </c>
      <c r="E76">
        <f>表1_[[#This Row],[年份]]+表1_[[#This Row],[行政区域]]</f>
        <v>232018</v>
      </c>
    </row>
    <row r="77" spans="1:5" x14ac:dyDescent="0.4">
      <c r="A77" t="s">
        <v>7</v>
      </c>
      <c r="B77" t="s">
        <v>37</v>
      </c>
      <c r="C77">
        <v>2328823.5</v>
      </c>
      <c r="D77">
        <f>VLOOKUP(表1_[[#This Row],[地区]],Sheet2!A:B,2,0)</f>
        <v>230000</v>
      </c>
      <c r="E77">
        <f>表1_[[#This Row],[年份]]+表1_[[#This Row],[行政区域]]</f>
        <v>232019</v>
      </c>
    </row>
    <row r="78" spans="1:5" x14ac:dyDescent="0.4">
      <c r="A78" t="s">
        <v>7</v>
      </c>
      <c r="B78" t="s">
        <v>38</v>
      </c>
      <c r="C78">
        <v>2652015.0299999998</v>
      </c>
      <c r="D78">
        <f>VLOOKUP(表1_[[#This Row],[地区]],Sheet2!A:B,2,0)</f>
        <v>230000</v>
      </c>
      <c r="E78">
        <f>表1_[[#This Row],[年份]]+表1_[[#This Row],[行政区域]]</f>
        <v>232020</v>
      </c>
    </row>
    <row r="79" spans="1:5" x14ac:dyDescent="0.4">
      <c r="A79" t="s">
        <v>7</v>
      </c>
      <c r="B79" t="s">
        <v>39</v>
      </c>
      <c r="C79">
        <v>3501427.61</v>
      </c>
      <c r="D79">
        <f>VLOOKUP(表1_[[#This Row],[地区]],Sheet2!A:B,2,0)</f>
        <v>230000</v>
      </c>
      <c r="E79">
        <f>表1_[[#This Row],[年份]]+表1_[[#This Row],[行政区域]]</f>
        <v>232021</v>
      </c>
    </row>
    <row r="80" spans="1:5" x14ac:dyDescent="0.4">
      <c r="A80" t="s">
        <v>7</v>
      </c>
      <c r="B80" t="s">
        <v>40</v>
      </c>
      <c r="C80">
        <v>4601814</v>
      </c>
      <c r="D80">
        <f>VLOOKUP(表1_[[#This Row],[地区]],Sheet2!A:B,2,0)</f>
        <v>230000</v>
      </c>
      <c r="E80">
        <f>表1_[[#This Row],[年份]]+表1_[[#This Row],[行政区域]]</f>
        <v>232022</v>
      </c>
    </row>
    <row r="81" spans="1:5" x14ac:dyDescent="0.4">
      <c r="A81" t="s">
        <v>7</v>
      </c>
      <c r="B81" t="s">
        <v>41</v>
      </c>
      <c r="C81">
        <v>1128827</v>
      </c>
      <c r="D81">
        <f>VLOOKUP(表1_[[#This Row],[地区]],Sheet2!A:B,2,0)</f>
        <v>230000</v>
      </c>
      <c r="E81">
        <f>表1_[[#This Row],[年份]]+表1_[[#This Row],[行政区域]]</f>
        <v>232023</v>
      </c>
    </row>
    <row r="82" spans="1:5" x14ac:dyDescent="0.4">
      <c r="A82" t="s">
        <v>8</v>
      </c>
      <c r="B82" t="s">
        <v>32</v>
      </c>
      <c r="C82">
        <v>5924480.8700000001</v>
      </c>
      <c r="D82">
        <f>VLOOKUP(表1_[[#This Row],[地区]],Sheet2!A:B,2,0)</f>
        <v>310000</v>
      </c>
      <c r="E82">
        <f>表1_[[#This Row],[年份]]+表1_[[#This Row],[行政区域]]</f>
        <v>312014</v>
      </c>
    </row>
    <row r="83" spans="1:5" x14ac:dyDescent="0.4">
      <c r="A83" t="s">
        <v>8</v>
      </c>
      <c r="B83" t="s">
        <v>33</v>
      </c>
      <c r="C83">
        <v>6637837.9699999997</v>
      </c>
      <c r="D83">
        <f>VLOOKUP(表1_[[#This Row],[地区]],Sheet2!A:B,2,0)</f>
        <v>310000</v>
      </c>
      <c r="E83">
        <f>表1_[[#This Row],[年份]]+表1_[[#This Row],[行政区域]]</f>
        <v>312015</v>
      </c>
    </row>
    <row r="84" spans="1:5" x14ac:dyDescent="0.4">
      <c r="A84" t="s">
        <v>8</v>
      </c>
      <c r="B84" t="s">
        <v>34</v>
      </c>
      <c r="C84">
        <v>7809858.0800000001</v>
      </c>
      <c r="D84">
        <f>VLOOKUP(表1_[[#This Row],[地区]],Sheet2!A:B,2,0)</f>
        <v>310000</v>
      </c>
      <c r="E84">
        <f>表1_[[#This Row],[年份]]+表1_[[#This Row],[行政区域]]</f>
        <v>312016</v>
      </c>
    </row>
    <row r="85" spans="1:5" x14ac:dyDescent="0.4">
      <c r="A85" t="s">
        <v>8</v>
      </c>
      <c r="B85" t="s">
        <v>35</v>
      </c>
      <c r="C85">
        <v>8106176.5099999998</v>
      </c>
      <c r="D85">
        <f>VLOOKUP(表1_[[#This Row],[地区]],Sheet2!A:B,2,0)</f>
        <v>310000</v>
      </c>
      <c r="E85">
        <f>表1_[[#This Row],[年份]]+表1_[[#This Row],[行政区域]]</f>
        <v>312017</v>
      </c>
    </row>
    <row r="86" spans="1:5" x14ac:dyDescent="0.4">
      <c r="A86" t="s">
        <v>8</v>
      </c>
      <c r="B86" t="s">
        <v>36</v>
      </c>
      <c r="C86">
        <v>12251857.390000001</v>
      </c>
      <c r="D86">
        <f>VLOOKUP(表1_[[#This Row],[地区]],Sheet2!A:B,2,0)</f>
        <v>310000</v>
      </c>
      <c r="E86">
        <f>表1_[[#This Row],[年份]]+表1_[[#This Row],[行政区域]]</f>
        <v>312018</v>
      </c>
    </row>
    <row r="87" spans="1:5" x14ac:dyDescent="0.4">
      <c r="A87" t="s">
        <v>8</v>
      </c>
      <c r="B87" t="s">
        <v>37</v>
      </c>
      <c r="C87">
        <v>14223539.1</v>
      </c>
      <c r="D87">
        <f>VLOOKUP(表1_[[#This Row],[地区]],Sheet2!A:B,2,0)</f>
        <v>310000</v>
      </c>
      <c r="E87">
        <f>表1_[[#This Row],[年份]]+表1_[[#This Row],[行政区域]]</f>
        <v>312019</v>
      </c>
    </row>
    <row r="88" spans="1:5" x14ac:dyDescent="0.4">
      <c r="A88" t="s">
        <v>8</v>
      </c>
      <c r="B88" t="s">
        <v>38</v>
      </c>
      <c r="C88">
        <v>15832248.380000001</v>
      </c>
      <c r="D88">
        <f>VLOOKUP(表1_[[#This Row],[地区]],Sheet2!A:B,2,0)</f>
        <v>310000</v>
      </c>
      <c r="E88">
        <f>表1_[[#This Row],[年份]]+表1_[[#This Row],[行政区域]]</f>
        <v>312020</v>
      </c>
    </row>
    <row r="89" spans="1:5" x14ac:dyDescent="0.4">
      <c r="A89" t="s">
        <v>8</v>
      </c>
      <c r="B89" t="s">
        <v>39</v>
      </c>
      <c r="C89">
        <v>25454910.48</v>
      </c>
      <c r="D89">
        <f>VLOOKUP(表1_[[#This Row],[地区]],Sheet2!A:B,2,0)</f>
        <v>310000</v>
      </c>
      <c r="E89">
        <f>表1_[[#This Row],[年份]]+表1_[[#This Row],[行政区域]]</f>
        <v>312021</v>
      </c>
    </row>
    <row r="90" spans="1:5" x14ac:dyDescent="0.4">
      <c r="A90" t="s">
        <v>8</v>
      </c>
      <c r="B90" t="s">
        <v>40</v>
      </c>
      <c r="C90">
        <v>38707329</v>
      </c>
      <c r="D90">
        <f>VLOOKUP(表1_[[#This Row],[地区]],Sheet2!A:B,2,0)</f>
        <v>310000</v>
      </c>
      <c r="E90">
        <f>表1_[[#This Row],[年份]]+表1_[[#This Row],[行政区域]]</f>
        <v>312022</v>
      </c>
    </row>
    <row r="91" spans="1:5" x14ac:dyDescent="0.4">
      <c r="A91" t="s">
        <v>8</v>
      </c>
      <c r="B91" t="s">
        <v>41</v>
      </c>
      <c r="C91">
        <v>46423364</v>
      </c>
      <c r="D91">
        <f>VLOOKUP(表1_[[#This Row],[地区]],Sheet2!A:B,2,0)</f>
        <v>310000</v>
      </c>
      <c r="E91">
        <f>表1_[[#This Row],[年份]]+表1_[[#This Row],[行政区域]]</f>
        <v>312023</v>
      </c>
    </row>
    <row r="92" spans="1:5" x14ac:dyDescent="0.4">
      <c r="A92" t="s">
        <v>9</v>
      </c>
      <c r="B92" t="s">
        <v>32</v>
      </c>
      <c r="C92">
        <v>5431585.2199999997</v>
      </c>
      <c r="D92">
        <f>VLOOKUP(表1_[[#This Row],[地区]],Sheet2!A:B,2,0)</f>
        <v>320000</v>
      </c>
      <c r="E92">
        <f>表1_[[#This Row],[年份]]+表1_[[#This Row],[行政区域]]</f>
        <v>322014</v>
      </c>
    </row>
    <row r="93" spans="1:5" x14ac:dyDescent="0.4">
      <c r="A93" t="s">
        <v>9</v>
      </c>
      <c r="B93" t="s">
        <v>33</v>
      </c>
      <c r="C93">
        <v>5729178.2300000004</v>
      </c>
      <c r="D93">
        <f>VLOOKUP(表1_[[#This Row],[地区]],Sheet2!A:B,2,0)</f>
        <v>320000</v>
      </c>
      <c r="E93">
        <f>表1_[[#This Row],[年份]]+表1_[[#This Row],[行政区域]]</f>
        <v>322015</v>
      </c>
    </row>
    <row r="94" spans="1:5" x14ac:dyDescent="0.4">
      <c r="A94" t="s">
        <v>9</v>
      </c>
      <c r="B94" t="s">
        <v>34</v>
      </c>
      <c r="C94">
        <v>6356424.8099999996</v>
      </c>
      <c r="D94">
        <f>VLOOKUP(表1_[[#This Row],[地区]],Sheet2!A:B,2,0)</f>
        <v>320000</v>
      </c>
      <c r="E94">
        <f>表1_[[#This Row],[年份]]+表1_[[#This Row],[行政区域]]</f>
        <v>322016</v>
      </c>
    </row>
    <row r="95" spans="1:5" x14ac:dyDescent="0.4">
      <c r="A95" t="s">
        <v>9</v>
      </c>
      <c r="B95" t="s">
        <v>35</v>
      </c>
      <c r="C95">
        <v>7784223.3200000003</v>
      </c>
      <c r="D95">
        <f>VLOOKUP(表1_[[#This Row],[地区]],Sheet2!A:B,2,0)</f>
        <v>320000</v>
      </c>
      <c r="E95">
        <f>表1_[[#This Row],[年份]]+表1_[[#This Row],[行政区域]]</f>
        <v>322017</v>
      </c>
    </row>
    <row r="96" spans="1:5" x14ac:dyDescent="0.4">
      <c r="A96" t="s">
        <v>9</v>
      </c>
      <c r="B96" t="s">
        <v>36</v>
      </c>
      <c r="C96">
        <v>9914474.8800000008</v>
      </c>
      <c r="D96">
        <f>VLOOKUP(表1_[[#This Row],[地区]],Sheet2!A:B,2,0)</f>
        <v>320000</v>
      </c>
      <c r="E96">
        <f>表1_[[#This Row],[年份]]+表1_[[#This Row],[行政区域]]</f>
        <v>322018</v>
      </c>
    </row>
    <row r="97" spans="1:5" x14ac:dyDescent="0.4">
      <c r="A97" t="s">
        <v>9</v>
      </c>
      <c r="B97" t="s">
        <v>37</v>
      </c>
      <c r="C97">
        <v>14715193.310000001</v>
      </c>
      <c r="D97">
        <f>VLOOKUP(表1_[[#This Row],[地区]],Sheet2!A:B,2,0)</f>
        <v>320000</v>
      </c>
      <c r="E97">
        <f>表1_[[#This Row],[年份]]+表1_[[#This Row],[行政区域]]</f>
        <v>322019</v>
      </c>
    </row>
    <row r="98" spans="1:5" x14ac:dyDescent="0.4">
      <c r="A98" t="s">
        <v>9</v>
      </c>
      <c r="B98" t="s">
        <v>38</v>
      </c>
      <c r="C98">
        <v>20878467.670000002</v>
      </c>
      <c r="D98">
        <f>VLOOKUP(表1_[[#This Row],[地区]],Sheet2!A:B,2,0)</f>
        <v>320000</v>
      </c>
      <c r="E98">
        <f>表1_[[#This Row],[年份]]+表1_[[#This Row],[行政区域]]</f>
        <v>322020</v>
      </c>
    </row>
    <row r="99" spans="1:5" x14ac:dyDescent="0.4">
      <c r="A99" t="s">
        <v>9</v>
      </c>
      <c r="B99" t="s">
        <v>39</v>
      </c>
      <c r="C99">
        <v>26061663.09</v>
      </c>
      <c r="D99">
        <f>VLOOKUP(表1_[[#This Row],[地区]],Sheet2!A:B,2,0)</f>
        <v>320000</v>
      </c>
      <c r="E99">
        <f>表1_[[#This Row],[年份]]+表1_[[#This Row],[行政区域]]</f>
        <v>322021</v>
      </c>
    </row>
    <row r="100" spans="1:5" x14ac:dyDescent="0.4">
      <c r="A100" t="s">
        <v>9</v>
      </c>
      <c r="B100" t="s">
        <v>40</v>
      </c>
      <c r="C100">
        <v>29867776</v>
      </c>
      <c r="D100">
        <f>VLOOKUP(表1_[[#This Row],[地区]],Sheet2!A:B,2,0)</f>
        <v>320000</v>
      </c>
      <c r="E100">
        <f>表1_[[#This Row],[年份]]+表1_[[#This Row],[行政区域]]</f>
        <v>322022</v>
      </c>
    </row>
    <row r="101" spans="1:5" x14ac:dyDescent="0.4">
      <c r="A101" t="s">
        <v>9</v>
      </c>
      <c r="B101" t="s">
        <v>41</v>
      </c>
      <c r="C101">
        <v>33310038</v>
      </c>
      <c r="D101">
        <f>VLOOKUP(表1_[[#This Row],[地区]],Sheet2!A:B,2,0)</f>
        <v>320000</v>
      </c>
      <c r="E101">
        <f>表1_[[#This Row],[年份]]+表1_[[#This Row],[行政区域]]</f>
        <v>322023</v>
      </c>
    </row>
    <row r="102" spans="1:5" x14ac:dyDescent="0.4">
      <c r="A102" t="s">
        <v>10</v>
      </c>
      <c r="B102" t="s">
        <v>32</v>
      </c>
      <c r="C102">
        <v>872527.08</v>
      </c>
      <c r="D102">
        <f>VLOOKUP(表1_[[#This Row],[地区]],Sheet2!A:B,2,0)</f>
        <v>330000</v>
      </c>
      <c r="E102">
        <f>表1_[[#This Row],[年份]]+表1_[[#This Row],[行政区域]]</f>
        <v>332014</v>
      </c>
    </row>
    <row r="103" spans="1:5" x14ac:dyDescent="0.4">
      <c r="A103" t="s">
        <v>10</v>
      </c>
      <c r="B103" t="s">
        <v>33</v>
      </c>
      <c r="C103">
        <v>980965.54</v>
      </c>
      <c r="D103">
        <f>VLOOKUP(表1_[[#This Row],[地区]],Sheet2!A:B,2,0)</f>
        <v>330000</v>
      </c>
      <c r="E103">
        <f>表1_[[#This Row],[年份]]+表1_[[#This Row],[行政区域]]</f>
        <v>332015</v>
      </c>
    </row>
    <row r="104" spans="1:5" x14ac:dyDescent="0.4">
      <c r="A104" t="s">
        <v>10</v>
      </c>
      <c r="B104" t="s">
        <v>34</v>
      </c>
      <c r="C104">
        <v>1983716.22</v>
      </c>
      <c r="D104">
        <f>VLOOKUP(表1_[[#This Row],[地区]],Sheet2!A:B,2,0)</f>
        <v>330000</v>
      </c>
      <c r="E104">
        <f>表1_[[#This Row],[年份]]+表1_[[#This Row],[行政区域]]</f>
        <v>332016</v>
      </c>
    </row>
    <row r="105" spans="1:5" x14ac:dyDescent="0.4">
      <c r="A105" t="s">
        <v>10</v>
      </c>
      <c r="B105" t="s">
        <v>35</v>
      </c>
      <c r="C105">
        <v>3247309.73</v>
      </c>
      <c r="D105">
        <f>VLOOKUP(表1_[[#This Row],[地区]],Sheet2!A:B,2,0)</f>
        <v>330000</v>
      </c>
      <c r="E105">
        <f>表1_[[#This Row],[年份]]+表1_[[#This Row],[行政区域]]</f>
        <v>332017</v>
      </c>
    </row>
    <row r="106" spans="1:5" x14ac:dyDescent="0.4">
      <c r="A106" t="s">
        <v>10</v>
      </c>
      <c r="B106" t="s">
        <v>36</v>
      </c>
      <c r="C106">
        <v>5906640.8099999996</v>
      </c>
      <c r="D106">
        <f>VLOOKUP(表1_[[#This Row],[地区]],Sheet2!A:B,2,0)</f>
        <v>330000</v>
      </c>
      <c r="E106">
        <f>表1_[[#This Row],[年份]]+表1_[[#This Row],[行政区域]]</f>
        <v>332018</v>
      </c>
    </row>
    <row r="107" spans="1:5" x14ac:dyDescent="0.4">
      <c r="A107" t="s">
        <v>10</v>
      </c>
      <c r="B107" t="s">
        <v>37</v>
      </c>
      <c r="C107">
        <v>8880077.8800000008</v>
      </c>
      <c r="D107">
        <f>VLOOKUP(表1_[[#This Row],[地区]],Sheet2!A:B,2,0)</f>
        <v>330000</v>
      </c>
      <c r="E107">
        <f>表1_[[#This Row],[年份]]+表1_[[#This Row],[行政区域]]</f>
        <v>332019</v>
      </c>
    </row>
    <row r="108" spans="1:5" x14ac:dyDescent="0.4">
      <c r="A108" t="s">
        <v>10</v>
      </c>
      <c r="B108" t="s">
        <v>38</v>
      </c>
      <c r="C108">
        <v>14033228.4</v>
      </c>
      <c r="D108">
        <f>VLOOKUP(表1_[[#This Row],[地区]],Sheet2!A:B,2,0)</f>
        <v>330000</v>
      </c>
      <c r="E108">
        <f>表1_[[#This Row],[年份]]+表1_[[#This Row],[行政区域]]</f>
        <v>332020</v>
      </c>
    </row>
    <row r="109" spans="1:5" x14ac:dyDescent="0.4">
      <c r="A109" t="s">
        <v>10</v>
      </c>
      <c r="B109" t="s">
        <v>39</v>
      </c>
      <c r="C109">
        <v>18557774.190000001</v>
      </c>
      <c r="D109">
        <f>VLOOKUP(表1_[[#This Row],[地区]],Sheet2!A:B,2,0)</f>
        <v>330000</v>
      </c>
      <c r="E109">
        <f>表1_[[#This Row],[年份]]+表1_[[#This Row],[行政区域]]</f>
        <v>332021</v>
      </c>
    </row>
    <row r="110" spans="1:5" x14ac:dyDescent="0.4">
      <c r="A110" t="s">
        <v>10</v>
      </c>
      <c r="B110" t="s">
        <v>40</v>
      </c>
      <c r="C110">
        <v>24350738</v>
      </c>
      <c r="D110">
        <f>VLOOKUP(表1_[[#This Row],[地区]],Sheet2!A:B,2,0)</f>
        <v>330000</v>
      </c>
      <c r="E110">
        <f>表1_[[#This Row],[年份]]+表1_[[#This Row],[行政区域]]</f>
        <v>332022</v>
      </c>
    </row>
    <row r="111" spans="1:5" x14ac:dyDescent="0.4">
      <c r="A111" t="s">
        <v>10</v>
      </c>
      <c r="B111" t="s">
        <v>41</v>
      </c>
      <c r="C111">
        <v>43237082</v>
      </c>
      <c r="D111">
        <f>VLOOKUP(表1_[[#This Row],[地区]],Sheet2!A:B,2,0)</f>
        <v>330000</v>
      </c>
      <c r="E111">
        <f>表1_[[#This Row],[年份]]+表1_[[#This Row],[行政区域]]</f>
        <v>332023</v>
      </c>
    </row>
    <row r="112" spans="1:5" x14ac:dyDescent="0.4">
      <c r="A112" t="s">
        <v>11</v>
      </c>
      <c r="B112" t="s">
        <v>32</v>
      </c>
      <c r="C112">
        <v>1698312.51</v>
      </c>
      <c r="D112">
        <f>VLOOKUP(表1_[[#This Row],[地区]],Sheet2!A:B,2,0)</f>
        <v>340000</v>
      </c>
      <c r="E112">
        <f>表1_[[#This Row],[年份]]+表1_[[#This Row],[行政区域]]</f>
        <v>342014</v>
      </c>
    </row>
    <row r="113" spans="1:5" x14ac:dyDescent="0.4">
      <c r="A113" t="s">
        <v>11</v>
      </c>
      <c r="B113" t="s">
        <v>33</v>
      </c>
      <c r="C113">
        <v>1904669.26</v>
      </c>
      <c r="D113">
        <f>VLOOKUP(表1_[[#This Row],[地区]],Sheet2!A:B,2,0)</f>
        <v>340000</v>
      </c>
      <c r="E113">
        <f>表1_[[#This Row],[年份]]+表1_[[#This Row],[行政区域]]</f>
        <v>342015</v>
      </c>
    </row>
    <row r="114" spans="1:5" x14ac:dyDescent="0.4">
      <c r="A114" t="s">
        <v>11</v>
      </c>
      <c r="B114" t="s">
        <v>34</v>
      </c>
      <c r="C114">
        <v>2173748.4500000002</v>
      </c>
      <c r="D114">
        <f>VLOOKUP(表1_[[#This Row],[地区]],Sheet2!A:B,2,0)</f>
        <v>340000</v>
      </c>
      <c r="E114">
        <f>表1_[[#This Row],[年份]]+表1_[[#This Row],[行政区域]]</f>
        <v>342016</v>
      </c>
    </row>
    <row r="115" spans="1:5" x14ac:dyDescent="0.4">
      <c r="A115" t="s">
        <v>11</v>
      </c>
      <c r="B115" t="s">
        <v>35</v>
      </c>
      <c r="C115">
        <v>2495696.65</v>
      </c>
      <c r="D115">
        <f>VLOOKUP(表1_[[#This Row],[地区]],Sheet2!A:B,2,0)</f>
        <v>340000</v>
      </c>
      <c r="E115">
        <f>表1_[[#This Row],[年份]]+表1_[[#This Row],[行政区域]]</f>
        <v>342017</v>
      </c>
    </row>
    <row r="116" spans="1:5" x14ac:dyDescent="0.4">
      <c r="A116" t="s">
        <v>11</v>
      </c>
      <c r="B116" t="s">
        <v>36</v>
      </c>
      <c r="C116">
        <v>3213130.59</v>
      </c>
      <c r="D116">
        <f>VLOOKUP(表1_[[#This Row],[地区]],Sheet2!A:B,2,0)</f>
        <v>340000</v>
      </c>
      <c r="E116">
        <f>表1_[[#This Row],[年份]]+表1_[[#This Row],[行政区域]]</f>
        <v>342018</v>
      </c>
    </row>
    <row r="117" spans="1:5" x14ac:dyDescent="0.4">
      <c r="A117" t="s">
        <v>11</v>
      </c>
      <c r="B117" t="s">
        <v>37</v>
      </c>
      <c r="C117">
        <v>4496068.16</v>
      </c>
      <c r="D117">
        <f>VLOOKUP(表1_[[#This Row],[地区]],Sheet2!A:B,2,0)</f>
        <v>340000</v>
      </c>
      <c r="E117">
        <f>表1_[[#This Row],[年份]]+表1_[[#This Row],[行政区域]]</f>
        <v>342019</v>
      </c>
    </row>
    <row r="118" spans="1:5" x14ac:dyDescent="0.4">
      <c r="A118" t="s">
        <v>11</v>
      </c>
      <c r="B118" t="s">
        <v>38</v>
      </c>
      <c r="C118">
        <v>6595728.0899999999</v>
      </c>
      <c r="D118">
        <f>VLOOKUP(表1_[[#This Row],[地区]],Sheet2!A:B,2,0)</f>
        <v>340000</v>
      </c>
      <c r="E118">
        <f>表1_[[#This Row],[年份]]+表1_[[#This Row],[行政区域]]</f>
        <v>342020</v>
      </c>
    </row>
    <row r="119" spans="1:5" x14ac:dyDescent="0.4">
      <c r="A119" t="s">
        <v>11</v>
      </c>
      <c r="B119" t="s">
        <v>39</v>
      </c>
      <c r="C119">
        <v>17877084.079999998</v>
      </c>
      <c r="D119">
        <f>VLOOKUP(表1_[[#This Row],[地区]],Sheet2!A:B,2,0)</f>
        <v>340000</v>
      </c>
      <c r="E119">
        <f>表1_[[#This Row],[年份]]+表1_[[#This Row],[行政区域]]</f>
        <v>342021</v>
      </c>
    </row>
    <row r="120" spans="1:5" x14ac:dyDescent="0.4">
      <c r="A120" t="s">
        <v>11</v>
      </c>
      <c r="B120" t="s">
        <v>40</v>
      </c>
      <c r="C120">
        <v>28754545</v>
      </c>
      <c r="D120">
        <f>VLOOKUP(表1_[[#This Row],[地区]],Sheet2!A:B,2,0)</f>
        <v>340000</v>
      </c>
      <c r="E120">
        <f>表1_[[#This Row],[年份]]+表1_[[#This Row],[行政区域]]</f>
        <v>342022</v>
      </c>
    </row>
    <row r="121" spans="1:5" x14ac:dyDescent="0.4">
      <c r="A121" t="s">
        <v>11</v>
      </c>
      <c r="B121" t="s">
        <v>41</v>
      </c>
      <c r="C121">
        <v>35975671</v>
      </c>
      <c r="D121">
        <f>VLOOKUP(表1_[[#This Row],[地区]],Sheet2!A:B,2,0)</f>
        <v>340000</v>
      </c>
      <c r="E121">
        <f>表1_[[#This Row],[年份]]+表1_[[#This Row],[行政区域]]</f>
        <v>342023</v>
      </c>
    </row>
    <row r="122" spans="1:5" x14ac:dyDescent="0.4">
      <c r="A122" t="s">
        <v>12</v>
      </c>
      <c r="B122" t="s">
        <v>32</v>
      </c>
      <c r="C122">
        <v>391913.32</v>
      </c>
      <c r="D122">
        <f>VLOOKUP(表1_[[#This Row],[地区]],Sheet2!A:B,2,0)</f>
        <v>350000</v>
      </c>
      <c r="E122">
        <f>表1_[[#This Row],[年份]]+表1_[[#This Row],[行政区域]]</f>
        <v>352014</v>
      </c>
    </row>
    <row r="123" spans="1:5" x14ac:dyDescent="0.4">
      <c r="A123" t="s">
        <v>12</v>
      </c>
      <c r="B123" t="s">
        <v>33</v>
      </c>
      <c r="C123">
        <v>521448.46</v>
      </c>
      <c r="D123">
        <f>VLOOKUP(表1_[[#This Row],[地区]],Sheet2!A:B,2,0)</f>
        <v>350000</v>
      </c>
      <c r="E123">
        <f>表1_[[#This Row],[年份]]+表1_[[#This Row],[行政区域]]</f>
        <v>352015</v>
      </c>
    </row>
    <row r="124" spans="1:5" x14ac:dyDescent="0.4">
      <c r="A124" t="s">
        <v>12</v>
      </c>
      <c r="B124" t="s">
        <v>34</v>
      </c>
      <c r="C124">
        <v>432203.77</v>
      </c>
      <c r="D124">
        <f>VLOOKUP(表1_[[#This Row],[地区]],Sheet2!A:B,2,0)</f>
        <v>350000</v>
      </c>
      <c r="E124">
        <f>表1_[[#This Row],[年份]]+表1_[[#This Row],[行政区域]]</f>
        <v>352016</v>
      </c>
    </row>
    <row r="125" spans="1:5" x14ac:dyDescent="0.4">
      <c r="A125" t="s">
        <v>12</v>
      </c>
      <c r="B125" t="s">
        <v>35</v>
      </c>
      <c r="C125">
        <v>754633.69</v>
      </c>
      <c r="D125">
        <f>VLOOKUP(表1_[[#This Row],[地区]],Sheet2!A:B,2,0)</f>
        <v>350000</v>
      </c>
      <c r="E125">
        <f>表1_[[#This Row],[年份]]+表1_[[#This Row],[行政区域]]</f>
        <v>352017</v>
      </c>
    </row>
    <row r="126" spans="1:5" x14ac:dyDescent="0.4">
      <c r="A126" t="s">
        <v>12</v>
      </c>
      <c r="B126" t="s">
        <v>36</v>
      </c>
      <c r="C126">
        <v>845235.04</v>
      </c>
      <c r="D126">
        <f>VLOOKUP(表1_[[#This Row],[地区]],Sheet2!A:B,2,0)</f>
        <v>350000</v>
      </c>
      <c r="E126">
        <f>表1_[[#This Row],[年份]]+表1_[[#This Row],[行政区域]]</f>
        <v>352018</v>
      </c>
    </row>
    <row r="127" spans="1:5" x14ac:dyDescent="0.4">
      <c r="A127" t="s">
        <v>12</v>
      </c>
      <c r="B127" t="s">
        <v>37</v>
      </c>
      <c r="C127">
        <v>1395882.53</v>
      </c>
      <c r="D127">
        <f>VLOOKUP(表1_[[#This Row],[地区]],Sheet2!A:B,2,0)</f>
        <v>350000</v>
      </c>
      <c r="E127">
        <f>表1_[[#This Row],[年份]]+表1_[[#This Row],[行政区域]]</f>
        <v>352019</v>
      </c>
    </row>
    <row r="128" spans="1:5" x14ac:dyDescent="0.4">
      <c r="A128" t="s">
        <v>12</v>
      </c>
      <c r="B128" t="s">
        <v>38</v>
      </c>
      <c r="C128">
        <v>1635367.34</v>
      </c>
      <c r="D128">
        <f>VLOOKUP(表1_[[#This Row],[地区]],Sheet2!A:B,2,0)</f>
        <v>350000</v>
      </c>
      <c r="E128">
        <f>表1_[[#This Row],[年份]]+表1_[[#This Row],[行政区域]]</f>
        <v>352020</v>
      </c>
    </row>
    <row r="129" spans="1:5" x14ac:dyDescent="0.4">
      <c r="A129" t="s">
        <v>12</v>
      </c>
      <c r="B129" t="s">
        <v>39</v>
      </c>
      <c r="C129">
        <v>1967975.76</v>
      </c>
      <c r="D129">
        <f>VLOOKUP(表1_[[#This Row],[地区]],Sheet2!A:B,2,0)</f>
        <v>350000</v>
      </c>
      <c r="E129">
        <f>表1_[[#This Row],[年份]]+表1_[[#This Row],[行政区域]]</f>
        <v>352021</v>
      </c>
    </row>
    <row r="130" spans="1:5" x14ac:dyDescent="0.4">
      <c r="A130" t="s">
        <v>12</v>
      </c>
      <c r="B130" t="s">
        <v>40</v>
      </c>
      <c r="C130">
        <v>2595179</v>
      </c>
      <c r="D130">
        <f>VLOOKUP(表1_[[#This Row],[地区]],Sheet2!A:B,2,0)</f>
        <v>350000</v>
      </c>
      <c r="E130">
        <f>表1_[[#This Row],[年份]]+表1_[[#This Row],[行政区域]]</f>
        <v>352022</v>
      </c>
    </row>
    <row r="131" spans="1:5" x14ac:dyDescent="0.4">
      <c r="A131" t="s">
        <v>12</v>
      </c>
      <c r="B131" t="s">
        <v>41</v>
      </c>
      <c r="C131">
        <v>3290010</v>
      </c>
      <c r="D131">
        <f>VLOOKUP(表1_[[#This Row],[地区]],Sheet2!A:B,2,0)</f>
        <v>350000</v>
      </c>
      <c r="E131">
        <f>表1_[[#This Row],[年份]]+表1_[[#This Row],[行政区域]]</f>
        <v>352023</v>
      </c>
    </row>
    <row r="132" spans="1:5" x14ac:dyDescent="0.4">
      <c r="A132" t="s">
        <v>13</v>
      </c>
      <c r="B132" t="s">
        <v>32</v>
      </c>
      <c r="C132">
        <v>507593.33</v>
      </c>
      <c r="D132">
        <f>VLOOKUP(表1_[[#This Row],[地区]],Sheet2!A:B,2,0)</f>
        <v>360000</v>
      </c>
      <c r="E132">
        <f>表1_[[#This Row],[年份]]+表1_[[#This Row],[行政区域]]</f>
        <v>362014</v>
      </c>
    </row>
    <row r="133" spans="1:5" x14ac:dyDescent="0.4">
      <c r="A133" t="s">
        <v>13</v>
      </c>
      <c r="B133" t="s">
        <v>33</v>
      </c>
      <c r="C133">
        <v>648483.80000000005</v>
      </c>
      <c r="D133">
        <f>VLOOKUP(表1_[[#This Row],[地区]],Sheet2!A:B,2,0)</f>
        <v>360000</v>
      </c>
      <c r="E133">
        <f>表1_[[#This Row],[年份]]+表1_[[#This Row],[行政区域]]</f>
        <v>362015</v>
      </c>
    </row>
    <row r="134" spans="1:5" x14ac:dyDescent="0.4">
      <c r="A134" t="s">
        <v>13</v>
      </c>
      <c r="B134" t="s">
        <v>34</v>
      </c>
      <c r="C134">
        <v>790077.35</v>
      </c>
      <c r="D134">
        <f>VLOOKUP(表1_[[#This Row],[地区]],Sheet2!A:B,2,0)</f>
        <v>360000</v>
      </c>
      <c r="E134">
        <f>表1_[[#This Row],[年份]]+表1_[[#This Row],[行政区域]]</f>
        <v>362016</v>
      </c>
    </row>
    <row r="135" spans="1:5" x14ac:dyDescent="0.4">
      <c r="A135" t="s">
        <v>13</v>
      </c>
      <c r="B135" t="s">
        <v>35</v>
      </c>
      <c r="C135">
        <v>962095.85</v>
      </c>
      <c r="D135">
        <f>VLOOKUP(表1_[[#This Row],[地区]],Sheet2!A:B,2,0)</f>
        <v>360000</v>
      </c>
      <c r="E135">
        <f>表1_[[#This Row],[年份]]+表1_[[#This Row],[行政区域]]</f>
        <v>362017</v>
      </c>
    </row>
    <row r="136" spans="1:5" x14ac:dyDescent="0.4">
      <c r="A136" t="s">
        <v>13</v>
      </c>
      <c r="B136" t="s">
        <v>36</v>
      </c>
      <c r="C136">
        <v>1158230.83</v>
      </c>
      <c r="D136">
        <f>VLOOKUP(表1_[[#This Row],[地区]],Sheet2!A:B,2,0)</f>
        <v>360000</v>
      </c>
      <c r="E136">
        <f>表1_[[#This Row],[年份]]+表1_[[#This Row],[行政区域]]</f>
        <v>362018</v>
      </c>
    </row>
    <row r="137" spans="1:5" x14ac:dyDescent="0.4">
      <c r="A137" t="s">
        <v>13</v>
      </c>
      <c r="B137" t="s">
        <v>37</v>
      </c>
      <c r="C137">
        <v>1486137.26</v>
      </c>
      <c r="D137">
        <f>VLOOKUP(表1_[[#This Row],[地区]],Sheet2!A:B,2,0)</f>
        <v>360000</v>
      </c>
      <c r="E137">
        <f>表1_[[#This Row],[年份]]+表1_[[#This Row],[行政区域]]</f>
        <v>362019</v>
      </c>
    </row>
    <row r="138" spans="1:5" x14ac:dyDescent="0.4">
      <c r="A138" t="s">
        <v>13</v>
      </c>
      <c r="B138" t="s">
        <v>38</v>
      </c>
      <c r="C138">
        <v>2334098.94</v>
      </c>
      <c r="D138">
        <f>VLOOKUP(表1_[[#This Row],[地区]],Sheet2!A:B,2,0)</f>
        <v>360000</v>
      </c>
      <c r="E138">
        <f>表1_[[#This Row],[年份]]+表1_[[#This Row],[行政区域]]</f>
        <v>362020</v>
      </c>
    </row>
    <row r="139" spans="1:5" x14ac:dyDescent="0.4">
      <c r="A139" t="s">
        <v>13</v>
      </c>
      <c r="B139" t="s">
        <v>39</v>
      </c>
      <c r="C139">
        <v>4093848.94</v>
      </c>
      <c r="D139">
        <f>VLOOKUP(表1_[[#This Row],[地区]],Sheet2!A:B,2,0)</f>
        <v>360000</v>
      </c>
      <c r="E139">
        <f>表1_[[#This Row],[年份]]+表1_[[#This Row],[行政区域]]</f>
        <v>362021</v>
      </c>
    </row>
    <row r="140" spans="1:5" x14ac:dyDescent="0.4">
      <c r="A140" t="s">
        <v>13</v>
      </c>
      <c r="B140" t="s">
        <v>40</v>
      </c>
      <c r="C140">
        <v>7338839</v>
      </c>
      <c r="D140">
        <f>VLOOKUP(表1_[[#This Row],[地区]],Sheet2!A:B,2,0)</f>
        <v>360000</v>
      </c>
      <c r="E140">
        <f>表1_[[#This Row],[年份]]+表1_[[#This Row],[行政区域]]</f>
        <v>362022</v>
      </c>
    </row>
    <row r="141" spans="1:5" x14ac:dyDescent="0.4">
      <c r="A141" t="s">
        <v>13</v>
      </c>
      <c r="B141" t="s">
        <v>41</v>
      </c>
      <c r="C141">
        <v>15848723</v>
      </c>
      <c r="D141">
        <f>VLOOKUP(表1_[[#This Row],[地区]],Sheet2!A:B,2,0)</f>
        <v>360000</v>
      </c>
      <c r="E141">
        <f>表1_[[#This Row],[年份]]+表1_[[#This Row],[行政区域]]</f>
        <v>362023</v>
      </c>
    </row>
    <row r="142" spans="1:5" x14ac:dyDescent="0.4">
      <c r="A142" t="s">
        <v>14</v>
      </c>
      <c r="B142" t="s">
        <v>32</v>
      </c>
      <c r="C142">
        <v>2492941.98</v>
      </c>
      <c r="D142">
        <f>VLOOKUP(表1_[[#This Row],[地区]],Sheet2!A:B,2,0)</f>
        <v>370000</v>
      </c>
      <c r="E142">
        <f>表1_[[#This Row],[年份]]+表1_[[#This Row],[行政区域]]</f>
        <v>372014</v>
      </c>
    </row>
    <row r="143" spans="1:5" x14ac:dyDescent="0.4">
      <c r="A143" t="s">
        <v>14</v>
      </c>
      <c r="B143" t="s">
        <v>33</v>
      </c>
      <c r="C143">
        <v>3075545.09</v>
      </c>
      <c r="D143">
        <f>VLOOKUP(表1_[[#This Row],[地区]],Sheet2!A:B,2,0)</f>
        <v>370000</v>
      </c>
      <c r="E143">
        <f>表1_[[#This Row],[年份]]+表1_[[#This Row],[行政区域]]</f>
        <v>372015</v>
      </c>
    </row>
    <row r="144" spans="1:5" x14ac:dyDescent="0.4">
      <c r="A144" t="s">
        <v>14</v>
      </c>
      <c r="B144" t="s">
        <v>34</v>
      </c>
      <c r="C144">
        <v>3959453.44</v>
      </c>
      <c r="D144">
        <f>VLOOKUP(表1_[[#This Row],[地区]],Sheet2!A:B,2,0)</f>
        <v>370000</v>
      </c>
      <c r="E144">
        <f>表1_[[#This Row],[年份]]+表1_[[#This Row],[行政区域]]</f>
        <v>372016</v>
      </c>
    </row>
    <row r="145" spans="1:5" x14ac:dyDescent="0.4">
      <c r="A145" t="s">
        <v>14</v>
      </c>
      <c r="B145" t="s">
        <v>35</v>
      </c>
      <c r="C145">
        <v>5116448.18</v>
      </c>
      <c r="D145">
        <f>VLOOKUP(表1_[[#This Row],[地区]],Sheet2!A:B,2,0)</f>
        <v>370000</v>
      </c>
      <c r="E145">
        <f>表1_[[#This Row],[年份]]+表1_[[#This Row],[行政区域]]</f>
        <v>372017</v>
      </c>
    </row>
    <row r="146" spans="1:5" x14ac:dyDescent="0.4">
      <c r="A146" t="s">
        <v>14</v>
      </c>
      <c r="B146" t="s">
        <v>36</v>
      </c>
      <c r="C146">
        <v>8199519.6600000001</v>
      </c>
      <c r="D146">
        <f>VLOOKUP(表1_[[#This Row],[地区]],Sheet2!A:B,2,0)</f>
        <v>370000</v>
      </c>
      <c r="E146">
        <f>表1_[[#This Row],[年份]]+表1_[[#This Row],[行政区域]]</f>
        <v>372018</v>
      </c>
    </row>
    <row r="147" spans="1:5" x14ac:dyDescent="0.4">
      <c r="A147" t="s">
        <v>14</v>
      </c>
      <c r="B147" t="s">
        <v>37</v>
      </c>
      <c r="C147">
        <v>11100177.609999999</v>
      </c>
      <c r="D147">
        <f>VLOOKUP(表1_[[#This Row],[地区]],Sheet2!A:B,2,0)</f>
        <v>370000</v>
      </c>
      <c r="E147">
        <f>表1_[[#This Row],[年份]]+表1_[[#This Row],[行政区域]]</f>
        <v>372019</v>
      </c>
    </row>
    <row r="148" spans="1:5" x14ac:dyDescent="0.4">
      <c r="A148" t="s">
        <v>14</v>
      </c>
      <c r="B148" t="s">
        <v>38</v>
      </c>
      <c r="C148">
        <v>19038905.989999998</v>
      </c>
      <c r="D148">
        <f>VLOOKUP(表1_[[#This Row],[地区]],Sheet2!A:B,2,0)</f>
        <v>370000</v>
      </c>
      <c r="E148">
        <f>表1_[[#This Row],[年份]]+表1_[[#This Row],[行政区域]]</f>
        <v>372020</v>
      </c>
    </row>
    <row r="149" spans="1:5" x14ac:dyDescent="0.4">
      <c r="A149" t="s">
        <v>14</v>
      </c>
      <c r="B149" t="s">
        <v>39</v>
      </c>
      <c r="C149">
        <v>24777894.920000002</v>
      </c>
      <c r="D149">
        <f>VLOOKUP(表1_[[#This Row],[地区]],Sheet2!A:B,2,0)</f>
        <v>370000</v>
      </c>
      <c r="E149">
        <f>表1_[[#This Row],[年份]]+表1_[[#This Row],[行政区域]]</f>
        <v>372021</v>
      </c>
    </row>
    <row r="150" spans="1:5" x14ac:dyDescent="0.4">
      <c r="A150" t="s">
        <v>14</v>
      </c>
      <c r="B150" t="s">
        <v>40</v>
      </c>
      <c r="C150">
        <v>32318349</v>
      </c>
      <c r="D150">
        <f>VLOOKUP(表1_[[#This Row],[地区]],Sheet2!A:B,2,0)</f>
        <v>370000</v>
      </c>
      <c r="E150">
        <f>表1_[[#This Row],[年份]]+表1_[[#This Row],[行政区域]]</f>
        <v>372022</v>
      </c>
    </row>
    <row r="151" spans="1:5" x14ac:dyDescent="0.4">
      <c r="A151" t="s">
        <v>14</v>
      </c>
      <c r="B151" t="s">
        <v>41</v>
      </c>
      <c r="C151">
        <v>45546684</v>
      </c>
      <c r="D151">
        <f>VLOOKUP(表1_[[#This Row],[地区]],Sheet2!A:B,2,0)</f>
        <v>370000</v>
      </c>
      <c r="E151">
        <f>表1_[[#This Row],[年份]]+表1_[[#This Row],[行政区域]]</f>
        <v>372023</v>
      </c>
    </row>
    <row r="152" spans="1:5" x14ac:dyDescent="0.4">
      <c r="A152" t="s">
        <v>15</v>
      </c>
      <c r="B152" t="s">
        <v>32</v>
      </c>
      <c r="C152">
        <v>407918.73</v>
      </c>
      <c r="D152">
        <f>VLOOKUP(表1_[[#This Row],[地区]],Sheet2!A:B,2,0)</f>
        <v>410000</v>
      </c>
      <c r="E152">
        <f>表1_[[#This Row],[年份]]+表1_[[#This Row],[行政区域]]</f>
        <v>412014</v>
      </c>
    </row>
    <row r="153" spans="1:5" x14ac:dyDescent="0.4">
      <c r="A153" t="s">
        <v>15</v>
      </c>
      <c r="B153" t="s">
        <v>33</v>
      </c>
      <c r="C153">
        <v>450442.37</v>
      </c>
      <c r="D153">
        <f>VLOOKUP(表1_[[#This Row],[地区]],Sheet2!A:B,2,0)</f>
        <v>410000</v>
      </c>
      <c r="E153">
        <f>表1_[[#This Row],[年份]]+表1_[[#This Row],[行政区域]]</f>
        <v>412015</v>
      </c>
    </row>
    <row r="154" spans="1:5" x14ac:dyDescent="0.4">
      <c r="A154" t="s">
        <v>15</v>
      </c>
      <c r="B154" t="s">
        <v>34</v>
      </c>
      <c r="C154">
        <v>587074.56000000006</v>
      </c>
      <c r="D154">
        <f>VLOOKUP(表1_[[#This Row],[地区]],Sheet2!A:B,2,0)</f>
        <v>410000</v>
      </c>
      <c r="E154">
        <f>表1_[[#This Row],[年份]]+表1_[[#This Row],[行政区域]]</f>
        <v>412016</v>
      </c>
    </row>
    <row r="155" spans="1:5" x14ac:dyDescent="0.4">
      <c r="A155" t="s">
        <v>15</v>
      </c>
      <c r="B155" t="s">
        <v>35</v>
      </c>
      <c r="C155">
        <v>768528.27</v>
      </c>
      <c r="D155">
        <f>VLOOKUP(表1_[[#This Row],[地区]],Sheet2!A:B,2,0)</f>
        <v>410000</v>
      </c>
      <c r="E155">
        <f>表1_[[#This Row],[年份]]+表1_[[#This Row],[行政区域]]</f>
        <v>412017</v>
      </c>
    </row>
    <row r="156" spans="1:5" x14ac:dyDescent="0.4">
      <c r="A156" t="s">
        <v>15</v>
      </c>
      <c r="B156" t="s">
        <v>36</v>
      </c>
      <c r="C156">
        <v>1492839.94</v>
      </c>
      <c r="D156">
        <f>VLOOKUP(表1_[[#This Row],[地区]],Sheet2!A:B,2,0)</f>
        <v>410000</v>
      </c>
      <c r="E156">
        <f>表1_[[#This Row],[年份]]+表1_[[#This Row],[行政区域]]</f>
        <v>412018</v>
      </c>
    </row>
    <row r="157" spans="1:5" x14ac:dyDescent="0.4">
      <c r="A157" t="s">
        <v>15</v>
      </c>
      <c r="B157" t="s">
        <v>37</v>
      </c>
      <c r="C157">
        <v>2318885.2000000002</v>
      </c>
      <c r="D157">
        <f>VLOOKUP(表1_[[#This Row],[地区]],Sheet2!A:B,2,0)</f>
        <v>410000</v>
      </c>
      <c r="E157">
        <f>表1_[[#This Row],[年份]]+表1_[[#This Row],[行政区域]]</f>
        <v>412019</v>
      </c>
    </row>
    <row r="158" spans="1:5" x14ac:dyDescent="0.4">
      <c r="A158" t="s">
        <v>15</v>
      </c>
      <c r="B158" t="s">
        <v>38</v>
      </c>
      <c r="C158">
        <v>3797786.26</v>
      </c>
      <c r="D158">
        <f>VLOOKUP(表1_[[#This Row],[地区]],Sheet2!A:B,2,0)</f>
        <v>410000</v>
      </c>
      <c r="E158">
        <f>表1_[[#This Row],[年份]]+表1_[[#This Row],[行政区域]]</f>
        <v>412020</v>
      </c>
    </row>
    <row r="159" spans="1:5" x14ac:dyDescent="0.4">
      <c r="A159" t="s">
        <v>15</v>
      </c>
      <c r="B159" t="s">
        <v>39</v>
      </c>
      <c r="C159">
        <v>6073260.4500000002</v>
      </c>
      <c r="D159">
        <f>VLOOKUP(表1_[[#This Row],[地区]],Sheet2!A:B,2,0)</f>
        <v>410000</v>
      </c>
      <c r="E159">
        <f>表1_[[#This Row],[年份]]+表1_[[#This Row],[行政区域]]</f>
        <v>412021</v>
      </c>
    </row>
    <row r="160" spans="1:5" x14ac:dyDescent="0.4">
      <c r="A160" t="s">
        <v>15</v>
      </c>
      <c r="B160" t="s">
        <v>40</v>
      </c>
      <c r="C160">
        <v>10207498</v>
      </c>
      <c r="D160">
        <f>VLOOKUP(表1_[[#This Row],[地区]],Sheet2!A:B,2,0)</f>
        <v>410000</v>
      </c>
      <c r="E160">
        <f>表1_[[#This Row],[年份]]+表1_[[#This Row],[行政区域]]</f>
        <v>412022</v>
      </c>
    </row>
    <row r="161" spans="1:5" x14ac:dyDescent="0.4">
      <c r="A161" t="s">
        <v>15</v>
      </c>
      <c r="B161" t="s">
        <v>41</v>
      </c>
      <c r="C161">
        <v>13626332</v>
      </c>
      <c r="D161">
        <f>VLOOKUP(表1_[[#This Row],[地区]],Sheet2!A:B,2,0)</f>
        <v>410000</v>
      </c>
      <c r="E161">
        <f>表1_[[#This Row],[年份]]+表1_[[#This Row],[行政区域]]</f>
        <v>412023</v>
      </c>
    </row>
    <row r="162" spans="1:5" x14ac:dyDescent="0.4">
      <c r="A162" t="s">
        <v>16</v>
      </c>
      <c r="B162" t="s">
        <v>32</v>
      </c>
      <c r="C162">
        <v>5806801.4699999997</v>
      </c>
      <c r="D162">
        <f>VLOOKUP(表1_[[#This Row],[地区]],Sheet2!A:B,2,0)</f>
        <v>420000</v>
      </c>
      <c r="E162">
        <f>表1_[[#This Row],[年份]]+表1_[[#This Row],[行政区域]]</f>
        <v>422014</v>
      </c>
    </row>
    <row r="163" spans="1:5" x14ac:dyDescent="0.4">
      <c r="A163" t="s">
        <v>16</v>
      </c>
      <c r="B163" t="s">
        <v>33</v>
      </c>
      <c r="C163">
        <v>7893406.5999999996</v>
      </c>
      <c r="D163">
        <f>VLOOKUP(表1_[[#This Row],[地区]],Sheet2!A:B,2,0)</f>
        <v>420000</v>
      </c>
      <c r="E163">
        <f>表1_[[#This Row],[年份]]+表1_[[#This Row],[行政区域]]</f>
        <v>422015</v>
      </c>
    </row>
    <row r="164" spans="1:5" x14ac:dyDescent="0.4">
      <c r="A164" t="s">
        <v>16</v>
      </c>
      <c r="B164" t="s">
        <v>34</v>
      </c>
      <c r="C164">
        <v>9038371.0700000003</v>
      </c>
      <c r="D164">
        <f>VLOOKUP(表1_[[#This Row],[地区]],Sheet2!A:B,2,0)</f>
        <v>420000</v>
      </c>
      <c r="E164">
        <f>表1_[[#This Row],[年份]]+表1_[[#This Row],[行政区域]]</f>
        <v>422016</v>
      </c>
    </row>
    <row r="165" spans="1:5" x14ac:dyDescent="0.4">
      <c r="A165" t="s">
        <v>16</v>
      </c>
      <c r="B165" t="s">
        <v>35</v>
      </c>
      <c r="C165">
        <v>10330773.09</v>
      </c>
      <c r="D165">
        <f>VLOOKUP(表1_[[#This Row],[地区]],Sheet2!A:B,2,0)</f>
        <v>420000</v>
      </c>
      <c r="E165">
        <f>表1_[[#This Row],[年份]]+表1_[[#This Row],[行政区域]]</f>
        <v>422017</v>
      </c>
    </row>
    <row r="166" spans="1:5" x14ac:dyDescent="0.4">
      <c r="A166" t="s">
        <v>16</v>
      </c>
      <c r="B166" t="s">
        <v>36</v>
      </c>
      <c r="C166">
        <v>12040937.359999999</v>
      </c>
      <c r="D166">
        <f>VLOOKUP(表1_[[#This Row],[地区]],Sheet2!A:B,2,0)</f>
        <v>420000</v>
      </c>
      <c r="E166">
        <f>表1_[[#This Row],[年份]]+表1_[[#This Row],[行政区域]]</f>
        <v>422018</v>
      </c>
    </row>
    <row r="167" spans="1:5" x14ac:dyDescent="0.4">
      <c r="A167" t="s">
        <v>16</v>
      </c>
      <c r="B167" t="s">
        <v>37</v>
      </c>
      <c r="C167">
        <v>14298358.359999999</v>
      </c>
      <c r="D167">
        <f>VLOOKUP(表1_[[#This Row],[地区]],Sheet2!A:B,2,0)</f>
        <v>420000</v>
      </c>
      <c r="E167">
        <f>表1_[[#This Row],[年份]]+表1_[[#This Row],[行政区域]]</f>
        <v>422019</v>
      </c>
    </row>
    <row r="168" spans="1:5" x14ac:dyDescent="0.4">
      <c r="A168" t="s">
        <v>16</v>
      </c>
      <c r="B168" t="s">
        <v>38</v>
      </c>
      <c r="C168">
        <v>16658079.93</v>
      </c>
      <c r="D168">
        <f>VLOOKUP(表1_[[#This Row],[地区]],Sheet2!A:B,2,0)</f>
        <v>420000</v>
      </c>
      <c r="E168">
        <f>表1_[[#This Row],[年份]]+表1_[[#This Row],[行政区域]]</f>
        <v>422020</v>
      </c>
    </row>
    <row r="169" spans="1:5" x14ac:dyDescent="0.4">
      <c r="A169" t="s">
        <v>16</v>
      </c>
      <c r="B169" t="s">
        <v>39</v>
      </c>
      <c r="C169">
        <v>20907762.989999998</v>
      </c>
      <c r="D169">
        <f>VLOOKUP(表1_[[#This Row],[地区]],Sheet2!A:B,2,0)</f>
        <v>420000</v>
      </c>
      <c r="E169">
        <f>表1_[[#This Row],[年份]]+表1_[[#This Row],[行政区域]]</f>
        <v>422021</v>
      </c>
    </row>
    <row r="170" spans="1:5" x14ac:dyDescent="0.4">
      <c r="A170" t="s">
        <v>16</v>
      </c>
      <c r="B170" t="s">
        <v>40</v>
      </c>
      <c r="C170">
        <v>30099979</v>
      </c>
      <c r="D170">
        <f>VLOOKUP(表1_[[#This Row],[地区]],Sheet2!A:B,2,0)</f>
        <v>420000</v>
      </c>
      <c r="E170">
        <f>表1_[[#This Row],[年份]]+表1_[[#This Row],[行政区域]]</f>
        <v>422022</v>
      </c>
    </row>
    <row r="171" spans="1:5" x14ac:dyDescent="0.4">
      <c r="A171" t="s">
        <v>16</v>
      </c>
      <c r="B171" t="s">
        <v>41</v>
      </c>
      <c r="C171">
        <v>47711723</v>
      </c>
      <c r="D171">
        <f>VLOOKUP(表1_[[#This Row],[地区]],Sheet2!A:B,2,0)</f>
        <v>420000</v>
      </c>
      <c r="E171">
        <f>表1_[[#This Row],[年份]]+表1_[[#This Row],[行政区域]]</f>
        <v>422023</v>
      </c>
    </row>
    <row r="172" spans="1:5" x14ac:dyDescent="0.4">
      <c r="A172" t="s">
        <v>17</v>
      </c>
      <c r="B172" t="s">
        <v>32</v>
      </c>
      <c r="C172">
        <v>979341.68</v>
      </c>
      <c r="D172">
        <f>VLOOKUP(表1_[[#This Row],[地区]],Sheet2!A:B,2,0)</f>
        <v>430000</v>
      </c>
      <c r="E172">
        <f>表1_[[#This Row],[年份]]+表1_[[#This Row],[行政区域]]</f>
        <v>432014</v>
      </c>
    </row>
    <row r="173" spans="1:5" x14ac:dyDescent="0.4">
      <c r="A173" t="s">
        <v>17</v>
      </c>
      <c r="B173" t="s">
        <v>33</v>
      </c>
      <c r="C173">
        <v>1050577.58</v>
      </c>
      <c r="D173">
        <f>VLOOKUP(表1_[[#This Row],[地区]],Sheet2!A:B,2,0)</f>
        <v>430000</v>
      </c>
      <c r="E173">
        <f>表1_[[#This Row],[年份]]+表1_[[#This Row],[行政区域]]</f>
        <v>432015</v>
      </c>
    </row>
    <row r="174" spans="1:5" x14ac:dyDescent="0.4">
      <c r="A174" t="s">
        <v>17</v>
      </c>
      <c r="B174" t="s">
        <v>34</v>
      </c>
      <c r="C174">
        <v>1056286.73</v>
      </c>
      <c r="D174">
        <f>VLOOKUP(表1_[[#This Row],[地区]],Sheet2!A:B,2,0)</f>
        <v>430000</v>
      </c>
      <c r="E174">
        <f>表1_[[#This Row],[年份]]+表1_[[#This Row],[行政区域]]</f>
        <v>432016</v>
      </c>
    </row>
    <row r="175" spans="1:5" x14ac:dyDescent="0.4">
      <c r="A175" t="s">
        <v>17</v>
      </c>
      <c r="B175" t="s">
        <v>35</v>
      </c>
      <c r="C175">
        <v>2031915.47</v>
      </c>
      <c r="D175">
        <f>VLOOKUP(表1_[[#This Row],[地区]],Sheet2!A:B,2,0)</f>
        <v>430000</v>
      </c>
      <c r="E175">
        <f>表1_[[#This Row],[年份]]+表1_[[#This Row],[行政区域]]</f>
        <v>432017</v>
      </c>
    </row>
    <row r="176" spans="1:5" x14ac:dyDescent="0.4">
      <c r="A176" t="s">
        <v>17</v>
      </c>
      <c r="B176" t="s">
        <v>36</v>
      </c>
      <c r="C176">
        <v>2816125.59</v>
      </c>
      <c r="D176">
        <f>VLOOKUP(表1_[[#This Row],[地区]],Sheet2!A:B,2,0)</f>
        <v>430000</v>
      </c>
      <c r="E176">
        <f>表1_[[#This Row],[年份]]+表1_[[#This Row],[行政区域]]</f>
        <v>432018</v>
      </c>
    </row>
    <row r="177" spans="1:5" x14ac:dyDescent="0.4">
      <c r="A177" t="s">
        <v>17</v>
      </c>
      <c r="B177" t="s">
        <v>37</v>
      </c>
      <c r="C177">
        <v>4906932.45</v>
      </c>
      <c r="D177">
        <f>VLOOKUP(表1_[[#This Row],[地区]],Sheet2!A:B,2,0)</f>
        <v>430000</v>
      </c>
      <c r="E177">
        <f>表1_[[#This Row],[年份]]+表1_[[#This Row],[行政区域]]</f>
        <v>432019</v>
      </c>
    </row>
    <row r="178" spans="1:5" x14ac:dyDescent="0.4">
      <c r="A178" t="s">
        <v>17</v>
      </c>
      <c r="B178" t="s">
        <v>38</v>
      </c>
      <c r="C178">
        <v>7359497.0999999996</v>
      </c>
      <c r="D178">
        <f>VLOOKUP(表1_[[#This Row],[地区]],Sheet2!A:B,2,0)</f>
        <v>430000</v>
      </c>
      <c r="E178">
        <f>表1_[[#This Row],[年份]]+表1_[[#This Row],[行政区域]]</f>
        <v>432020</v>
      </c>
    </row>
    <row r="179" spans="1:5" x14ac:dyDescent="0.4">
      <c r="A179" t="s">
        <v>17</v>
      </c>
      <c r="B179" t="s">
        <v>39</v>
      </c>
      <c r="C179">
        <v>12612639.66</v>
      </c>
      <c r="D179">
        <f>VLOOKUP(表1_[[#This Row],[地区]],Sheet2!A:B,2,0)</f>
        <v>430000</v>
      </c>
      <c r="E179">
        <f>表1_[[#This Row],[年份]]+表1_[[#This Row],[行政区域]]</f>
        <v>432021</v>
      </c>
    </row>
    <row r="180" spans="1:5" x14ac:dyDescent="0.4">
      <c r="A180" t="s">
        <v>17</v>
      </c>
      <c r="B180" t="s">
        <v>40</v>
      </c>
      <c r="C180">
        <v>25428885</v>
      </c>
      <c r="D180">
        <f>VLOOKUP(表1_[[#This Row],[地区]],Sheet2!A:B,2,0)</f>
        <v>430000</v>
      </c>
      <c r="E180">
        <f>表1_[[#This Row],[年份]]+表1_[[#This Row],[行政区域]]</f>
        <v>432022</v>
      </c>
    </row>
    <row r="181" spans="1:5" x14ac:dyDescent="0.4">
      <c r="A181" t="s">
        <v>17</v>
      </c>
      <c r="B181" t="s">
        <v>41</v>
      </c>
      <c r="C181">
        <v>39897680</v>
      </c>
      <c r="D181">
        <f>VLOOKUP(表1_[[#This Row],[地区]],Sheet2!A:B,2,0)</f>
        <v>430000</v>
      </c>
      <c r="E181">
        <f>表1_[[#This Row],[年份]]+表1_[[#This Row],[行政区域]]</f>
        <v>432023</v>
      </c>
    </row>
    <row r="182" spans="1:5" x14ac:dyDescent="0.4">
      <c r="A182" t="s">
        <v>18</v>
      </c>
      <c r="B182" t="s">
        <v>32</v>
      </c>
      <c r="C182">
        <v>4132478.14</v>
      </c>
      <c r="D182">
        <f>VLOOKUP(表1_[[#This Row],[地区]],Sheet2!A:B,2,0)</f>
        <v>440000</v>
      </c>
      <c r="E182">
        <f>表1_[[#This Row],[年份]]+表1_[[#This Row],[行政区域]]</f>
        <v>442014</v>
      </c>
    </row>
    <row r="183" spans="1:5" x14ac:dyDescent="0.4">
      <c r="A183" t="s">
        <v>18</v>
      </c>
      <c r="B183" t="s">
        <v>33</v>
      </c>
      <c r="C183">
        <v>6625774.6299999999</v>
      </c>
      <c r="D183">
        <f>VLOOKUP(表1_[[#This Row],[地区]],Sheet2!A:B,2,0)</f>
        <v>440000</v>
      </c>
      <c r="E183">
        <f>表1_[[#This Row],[年份]]+表1_[[#This Row],[行政区域]]</f>
        <v>442015</v>
      </c>
    </row>
    <row r="184" spans="1:5" x14ac:dyDescent="0.4">
      <c r="A184" t="s">
        <v>18</v>
      </c>
      <c r="B184" t="s">
        <v>34</v>
      </c>
      <c r="C184">
        <v>7581650.21</v>
      </c>
      <c r="D184">
        <f>VLOOKUP(表1_[[#This Row],[地区]],Sheet2!A:B,2,0)</f>
        <v>440000</v>
      </c>
      <c r="E184">
        <f>表1_[[#This Row],[年份]]+表1_[[#This Row],[行政区域]]</f>
        <v>442016</v>
      </c>
    </row>
    <row r="185" spans="1:5" x14ac:dyDescent="0.4">
      <c r="A185" t="s">
        <v>18</v>
      </c>
      <c r="B185" t="s">
        <v>35</v>
      </c>
      <c r="C185">
        <v>9370755.3300000001</v>
      </c>
      <c r="D185">
        <f>VLOOKUP(表1_[[#This Row],[地区]],Sheet2!A:B,2,0)</f>
        <v>440000</v>
      </c>
      <c r="E185">
        <f>表1_[[#This Row],[年份]]+表1_[[#This Row],[行政区域]]</f>
        <v>442017</v>
      </c>
    </row>
    <row r="186" spans="1:5" x14ac:dyDescent="0.4">
      <c r="A186" t="s">
        <v>18</v>
      </c>
      <c r="B186" t="s">
        <v>36</v>
      </c>
      <c r="C186">
        <v>13654185.77</v>
      </c>
      <c r="D186">
        <f>VLOOKUP(表1_[[#This Row],[地区]],Sheet2!A:B,2,0)</f>
        <v>440000</v>
      </c>
      <c r="E186">
        <f>表1_[[#This Row],[年份]]+表1_[[#This Row],[行政区域]]</f>
        <v>442018</v>
      </c>
    </row>
    <row r="187" spans="1:5" x14ac:dyDescent="0.4">
      <c r="A187" t="s">
        <v>18</v>
      </c>
      <c r="B187" t="s">
        <v>37</v>
      </c>
      <c r="C187">
        <v>22230843.620000001</v>
      </c>
      <c r="D187">
        <f>VLOOKUP(表1_[[#This Row],[地区]],Sheet2!A:B,2,0)</f>
        <v>440000</v>
      </c>
      <c r="E187">
        <f>表1_[[#This Row],[年份]]+表1_[[#This Row],[行政区域]]</f>
        <v>442019</v>
      </c>
    </row>
    <row r="188" spans="1:5" x14ac:dyDescent="0.4">
      <c r="A188" t="s">
        <v>18</v>
      </c>
      <c r="B188" t="s">
        <v>38</v>
      </c>
      <c r="C188">
        <v>32672141.780000001</v>
      </c>
      <c r="D188">
        <f>VLOOKUP(表1_[[#This Row],[地区]],Sheet2!A:B,2,0)</f>
        <v>440000</v>
      </c>
      <c r="E188">
        <f>表1_[[#This Row],[年份]]+表1_[[#This Row],[行政区域]]</f>
        <v>442020</v>
      </c>
    </row>
    <row r="189" spans="1:5" x14ac:dyDescent="0.4">
      <c r="A189" t="s">
        <v>18</v>
      </c>
      <c r="B189" t="s">
        <v>39</v>
      </c>
      <c r="C189">
        <v>40996121.450000003</v>
      </c>
      <c r="D189">
        <f>VLOOKUP(表1_[[#This Row],[地区]],Sheet2!A:B,2,0)</f>
        <v>440000</v>
      </c>
      <c r="E189">
        <f>表1_[[#This Row],[年份]]+表1_[[#This Row],[行政区域]]</f>
        <v>442021</v>
      </c>
    </row>
    <row r="190" spans="1:5" x14ac:dyDescent="0.4">
      <c r="A190" t="s">
        <v>18</v>
      </c>
      <c r="B190" t="s">
        <v>40</v>
      </c>
      <c r="C190">
        <v>39674797</v>
      </c>
      <c r="D190">
        <f>VLOOKUP(表1_[[#This Row],[地区]],Sheet2!A:B,2,0)</f>
        <v>440000</v>
      </c>
      <c r="E190">
        <f>表1_[[#This Row],[年份]]+表1_[[#This Row],[行政区域]]</f>
        <v>442022</v>
      </c>
    </row>
    <row r="191" spans="1:5" x14ac:dyDescent="0.4">
      <c r="A191" t="s">
        <v>18</v>
      </c>
      <c r="B191" t="s">
        <v>41</v>
      </c>
      <c r="C191">
        <v>38667832</v>
      </c>
      <c r="D191">
        <f>VLOOKUP(表1_[[#This Row],[地区]],Sheet2!A:B,2,0)</f>
        <v>440000</v>
      </c>
      <c r="E191">
        <f>表1_[[#This Row],[年份]]+表1_[[#This Row],[行政区域]]</f>
        <v>442023</v>
      </c>
    </row>
    <row r="192" spans="1:5" x14ac:dyDescent="0.4">
      <c r="A192" t="s">
        <v>19</v>
      </c>
      <c r="B192" t="s">
        <v>32</v>
      </c>
      <c r="C192">
        <v>115833.13</v>
      </c>
      <c r="D192">
        <f>VLOOKUP(表1_[[#This Row],[地区]],Sheet2!A:B,2,0)</f>
        <v>450000</v>
      </c>
      <c r="E192">
        <f>表1_[[#This Row],[年份]]+表1_[[#This Row],[行政区域]]</f>
        <v>452014</v>
      </c>
    </row>
    <row r="193" spans="1:5" x14ac:dyDescent="0.4">
      <c r="A193" t="s">
        <v>19</v>
      </c>
      <c r="B193" t="s">
        <v>33</v>
      </c>
      <c r="C193">
        <v>73131.69</v>
      </c>
      <c r="D193">
        <f>VLOOKUP(表1_[[#This Row],[地区]],Sheet2!A:B,2,0)</f>
        <v>450000</v>
      </c>
      <c r="E193">
        <f>表1_[[#This Row],[年份]]+表1_[[#This Row],[行政区域]]</f>
        <v>452015</v>
      </c>
    </row>
    <row r="194" spans="1:5" x14ac:dyDescent="0.4">
      <c r="A194" t="s">
        <v>19</v>
      </c>
      <c r="B194" t="s">
        <v>34</v>
      </c>
      <c r="C194">
        <v>339922.26</v>
      </c>
      <c r="D194">
        <f>VLOOKUP(表1_[[#This Row],[地区]],Sheet2!A:B,2,0)</f>
        <v>450000</v>
      </c>
      <c r="E194">
        <f>表1_[[#This Row],[年份]]+表1_[[#This Row],[行政区域]]</f>
        <v>452016</v>
      </c>
    </row>
    <row r="195" spans="1:5" x14ac:dyDescent="0.4">
      <c r="A195" t="s">
        <v>19</v>
      </c>
      <c r="B195" t="s">
        <v>35</v>
      </c>
      <c r="C195">
        <v>394227.7</v>
      </c>
      <c r="D195">
        <f>VLOOKUP(表1_[[#This Row],[地区]],Sheet2!A:B,2,0)</f>
        <v>450000</v>
      </c>
      <c r="E195">
        <f>表1_[[#This Row],[年份]]+表1_[[#This Row],[行政区域]]</f>
        <v>452017</v>
      </c>
    </row>
    <row r="196" spans="1:5" x14ac:dyDescent="0.4">
      <c r="A196" t="s">
        <v>19</v>
      </c>
      <c r="B196" t="s">
        <v>36</v>
      </c>
      <c r="C196">
        <v>614077.25</v>
      </c>
      <c r="D196">
        <f>VLOOKUP(表1_[[#This Row],[地区]],Sheet2!A:B,2,0)</f>
        <v>450000</v>
      </c>
      <c r="E196">
        <f>表1_[[#This Row],[年份]]+表1_[[#This Row],[行政区域]]</f>
        <v>452018</v>
      </c>
    </row>
    <row r="197" spans="1:5" x14ac:dyDescent="0.4">
      <c r="A197" t="s">
        <v>19</v>
      </c>
      <c r="B197" t="s">
        <v>37</v>
      </c>
      <c r="C197">
        <v>775571.65</v>
      </c>
      <c r="D197">
        <f>VLOOKUP(表1_[[#This Row],[地区]],Sheet2!A:B,2,0)</f>
        <v>450000</v>
      </c>
      <c r="E197">
        <f>表1_[[#This Row],[年份]]+表1_[[#This Row],[行政区域]]</f>
        <v>452019</v>
      </c>
    </row>
    <row r="198" spans="1:5" x14ac:dyDescent="0.4">
      <c r="A198" t="s">
        <v>19</v>
      </c>
      <c r="B198" t="s">
        <v>38</v>
      </c>
      <c r="C198">
        <v>916690.86</v>
      </c>
      <c r="D198">
        <f>VLOOKUP(表1_[[#This Row],[地区]],Sheet2!A:B,2,0)</f>
        <v>450000</v>
      </c>
      <c r="E198">
        <f>表1_[[#This Row],[年份]]+表1_[[#This Row],[行政区域]]</f>
        <v>452020</v>
      </c>
    </row>
    <row r="199" spans="1:5" x14ac:dyDescent="0.4">
      <c r="A199" t="s">
        <v>19</v>
      </c>
      <c r="B199" t="s">
        <v>39</v>
      </c>
      <c r="C199">
        <v>9405765.2799999993</v>
      </c>
      <c r="D199">
        <f>VLOOKUP(表1_[[#This Row],[地区]],Sheet2!A:B,2,0)</f>
        <v>450000</v>
      </c>
      <c r="E199">
        <f>表1_[[#This Row],[年份]]+表1_[[#This Row],[行政区域]]</f>
        <v>452021</v>
      </c>
    </row>
    <row r="200" spans="1:5" x14ac:dyDescent="0.4">
      <c r="A200" t="s">
        <v>19</v>
      </c>
      <c r="B200" t="s">
        <v>40</v>
      </c>
      <c r="C200">
        <v>2269901</v>
      </c>
      <c r="D200">
        <f>VLOOKUP(表1_[[#This Row],[地区]],Sheet2!A:B,2,0)</f>
        <v>450000</v>
      </c>
      <c r="E200">
        <f>表1_[[#This Row],[年份]]+表1_[[#This Row],[行政区域]]</f>
        <v>452022</v>
      </c>
    </row>
    <row r="201" spans="1:5" x14ac:dyDescent="0.4">
      <c r="A201" t="s">
        <v>19</v>
      </c>
      <c r="B201" t="s">
        <v>41</v>
      </c>
      <c r="C201">
        <v>889320</v>
      </c>
      <c r="D201">
        <f>VLOOKUP(表1_[[#This Row],[地区]],Sheet2!A:B,2,0)</f>
        <v>450000</v>
      </c>
      <c r="E201">
        <f>表1_[[#This Row],[年份]]+表1_[[#This Row],[行政区域]]</f>
        <v>452023</v>
      </c>
    </row>
    <row r="202" spans="1:5" x14ac:dyDescent="0.4">
      <c r="A202" t="s">
        <v>20</v>
      </c>
      <c r="B202" t="s">
        <v>32</v>
      </c>
      <c r="C202">
        <v>6524.62</v>
      </c>
      <c r="D202">
        <f>VLOOKUP(表1_[[#This Row],[地区]],Sheet2!A:B,2,0)</f>
        <v>460000</v>
      </c>
      <c r="E202">
        <f>表1_[[#This Row],[年份]]+表1_[[#This Row],[行政区域]]</f>
        <v>462014</v>
      </c>
    </row>
    <row r="203" spans="1:5" x14ac:dyDescent="0.4">
      <c r="A203" t="s">
        <v>20</v>
      </c>
      <c r="B203" t="s">
        <v>33</v>
      </c>
      <c r="C203">
        <v>21860.73</v>
      </c>
      <c r="D203">
        <f>VLOOKUP(表1_[[#This Row],[地区]],Sheet2!A:B,2,0)</f>
        <v>460000</v>
      </c>
      <c r="E203">
        <f>表1_[[#This Row],[年份]]+表1_[[#This Row],[行政区域]]</f>
        <v>462015</v>
      </c>
    </row>
    <row r="204" spans="1:5" x14ac:dyDescent="0.4">
      <c r="A204" t="s">
        <v>20</v>
      </c>
      <c r="B204" t="s">
        <v>34</v>
      </c>
      <c r="C204">
        <v>34431.120000000003</v>
      </c>
      <c r="D204">
        <f>VLOOKUP(表1_[[#This Row],[地区]],Sheet2!A:B,2,0)</f>
        <v>460000</v>
      </c>
      <c r="E204">
        <f>表1_[[#This Row],[年份]]+表1_[[#This Row],[行政区域]]</f>
        <v>462016</v>
      </c>
    </row>
    <row r="205" spans="1:5" x14ac:dyDescent="0.4">
      <c r="A205" t="s">
        <v>20</v>
      </c>
      <c r="B205" t="s">
        <v>35</v>
      </c>
      <c r="C205">
        <v>41078.61</v>
      </c>
      <c r="D205">
        <f>VLOOKUP(表1_[[#This Row],[地区]],Sheet2!A:B,2,0)</f>
        <v>460000</v>
      </c>
      <c r="E205">
        <f>表1_[[#This Row],[年份]]+表1_[[#This Row],[行政区域]]</f>
        <v>462017</v>
      </c>
    </row>
    <row r="206" spans="1:5" x14ac:dyDescent="0.4">
      <c r="A206" t="s">
        <v>20</v>
      </c>
      <c r="B206" t="s">
        <v>36</v>
      </c>
      <c r="C206">
        <v>69407.399999999994</v>
      </c>
      <c r="D206">
        <f>VLOOKUP(表1_[[#This Row],[地区]],Sheet2!A:B,2,0)</f>
        <v>460000</v>
      </c>
      <c r="E206">
        <f>表1_[[#This Row],[年份]]+表1_[[#This Row],[行政区域]]</f>
        <v>462018</v>
      </c>
    </row>
    <row r="207" spans="1:5" x14ac:dyDescent="0.4">
      <c r="A207" t="s">
        <v>20</v>
      </c>
      <c r="B207" t="s">
        <v>37</v>
      </c>
      <c r="C207">
        <v>91076.51</v>
      </c>
      <c r="D207">
        <f>VLOOKUP(表1_[[#This Row],[地区]],Sheet2!A:B,2,0)</f>
        <v>460000</v>
      </c>
      <c r="E207">
        <f>表1_[[#This Row],[年份]]+表1_[[#This Row],[行政区域]]</f>
        <v>462019</v>
      </c>
    </row>
    <row r="208" spans="1:5" x14ac:dyDescent="0.4">
      <c r="A208" t="s">
        <v>20</v>
      </c>
      <c r="B208" t="s">
        <v>38</v>
      </c>
      <c r="C208">
        <v>201901.86</v>
      </c>
      <c r="D208">
        <f>VLOOKUP(表1_[[#This Row],[地区]],Sheet2!A:B,2,0)</f>
        <v>460000</v>
      </c>
      <c r="E208">
        <f>表1_[[#This Row],[年份]]+表1_[[#This Row],[行政区域]]</f>
        <v>462020</v>
      </c>
    </row>
    <row r="209" spans="1:5" x14ac:dyDescent="0.4">
      <c r="A209" t="s">
        <v>20</v>
      </c>
      <c r="B209" t="s">
        <v>39</v>
      </c>
      <c r="C209">
        <v>284161.99</v>
      </c>
      <c r="D209">
        <f>VLOOKUP(表1_[[#This Row],[地区]],Sheet2!A:B,2,0)</f>
        <v>460000</v>
      </c>
      <c r="E209">
        <f>表1_[[#This Row],[年份]]+表1_[[#This Row],[行政区域]]</f>
        <v>462021</v>
      </c>
    </row>
    <row r="210" spans="1:5" x14ac:dyDescent="0.4">
      <c r="A210" t="s">
        <v>20</v>
      </c>
      <c r="B210" t="s">
        <v>40</v>
      </c>
      <c r="C210">
        <v>315522</v>
      </c>
      <c r="D210">
        <f>VLOOKUP(表1_[[#This Row],[地区]],Sheet2!A:B,2,0)</f>
        <v>460000</v>
      </c>
      <c r="E210">
        <f>表1_[[#This Row],[年份]]+表1_[[#This Row],[行政区域]]</f>
        <v>462022</v>
      </c>
    </row>
    <row r="211" spans="1:5" x14ac:dyDescent="0.4">
      <c r="A211" t="s">
        <v>20</v>
      </c>
      <c r="B211" t="s">
        <v>41</v>
      </c>
      <c r="C211">
        <v>525900</v>
      </c>
      <c r="D211">
        <f>VLOOKUP(表1_[[#This Row],[地区]],Sheet2!A:B,2,0)</f>
        <v>460000</v>
      </c>
      <c r="E211">
        <f>表1_[[#This Row],[年份]]+表1_[[#This Row],[行政区域]]</f>
        <v>462023</v>
      </c>
    </row>
    <row r="212" spans="1:5" x14ac:dyDescent="0.4">
      <c r="A212" t="s">
        <v>21</v>
      </c>
      <c r="B212" t="s">
        <v>32</v>
      </c>
      <c r="C212">
        <v>1562006.81</v>
      </c>
      <c r="D212">
        <f>VLOOKUP(表1_[[#This Row],[地区]],Sheet2!A:B,2,0)</f>
        <v>500000</v>
      </c>
      <c r="E212">
        <f>表1_[[#This Row],[年份]]+表1_[[#This Row],[行政区域]]</f>
        <v>502014</v>
      </c>
    </row>
    <row r="213" spans="1:5" x14ac:dyDescent="0.4">
      <c r="A213" t="s">
        <v>21</v>
      </c>
      <c r="B213" t="s">
        <v>33</v>
      </c>
      <c r="C213">
        <v>572366.31000000006</v>
      </c>
      <c r="D213">
        <f>VLOOKUP(表1_[[#This Row],[地区]],Sheet2!A:B,2,0)</f>
        <v>500000</v>
      </c>
      <c r="E213">
        <f>表1_[[#This Row],[年份]]+表1_[[#This Row],[行政区域]]</f>
        <v>502015</v>
      </c>
    </row>
    <row r="214" spans="1:5" x14ac:dyDescent="0.4">
      <c r="A214" t="s">
        <v>21</v>
      </c>
      <c r="B214" t="s">
        <v>34</v>
      </c>
      <c r="C214">
        <v>1471870.16</v>
      </c>
      <c r="D214">
        <f>VLOOKUP(表1_[[#This Row],[地区]],Sheet2!A:B,2,0)</f>
        <v>500000</v>
      </c>
      <c r="E214">
        <f>表1_[[#This Row],[年份]]+表1_[[#This Row],[行政区域]]</f>
        <v>502016</v>
      </c>
    </row>
    <row r="215" spans="1:5" x14ac:dyDescent="0.4">
      <c r="A215" t="s">
        <v>21</v>
      </c>
      <c r="B215" t="s">
        <v>35</v>
      </c>
      <c r="C215">
        <v>513580.89</v>
      </c>
      <c r="D215">
        <f>VLOOKUP(表1_[[#This Row],[地区]],Sheet2!A:B,2,0)</f>
        <v>500000</v>
      </c>
      <c r="E215">
        <f>表1_[[#This Row],[年份]]+表1_[[#This Row],[行政区域]]</f>
        <v>502017</v>
      </c>
    </row>
    <row r="216" spans="1:5" x14ac:dyDescent="0.4">
      <c r="A216" t="s">
        <v>21</v>
      </c>
      <c r="B216" t="s">
        <v>36</v>
      </c>
      <c r="C216">
        <v>1883528.63</v>
      </c>
      <c r="D216">
        <f>VLOOKUP(表1_[[#This Row],[地区]],Sheet2!A:B,2,0)</f>
        <v>500000</v>
      </c>
      <c r="E216">
        <f>表1_[[#This Row],[年份]]+表1_[[#This Row],[行政区域]]</f>
        <v>502018</v>
      </c>
    </row>
    <row r="217" spans="1:5" x14ac:dyDescent="0.4">
      <c r="A217" t="s">
        <v>21</v>
      </c>
      <c r="B217" t="s">
        <v>37</v>
      </c>
      <c r="C217">
        <v>566518.02</v>
      </c>
      <c r="D217">
        <f>VLOOKUP(表1_[[#This Row],[地区]],Sheet2!A:B,2,0)</f>
        <v>500000</v>
      </c>
      <c r="E217">
        <f>表1_[[#This Row],[年份]]+表1_[[#This Row],[行政区域]]</f>
        <v>502019</v>
      </c>
    </row>
    <row r="218" spans="1:5" x14ac:dyDescent="0.4">
      <c r="A218" t="s">
        <v>21</v>
      </c>
      <c r="B218" t="s">
        <v>38</v>
      </c>
      <c r="C218">
        <v>1177864.6399999999</v>
      </c>
      <c r="D218">
        <f>VLOOKUP(表1_[[#This Row],[地区]],Sheet2!A:B,2,0)</f>
        <v>500000</v>
      </c>
      <c r="E218">
        <f>表1_[[#This Row],[年份]]+表1_[[#This Row],[行政区域]]</f>
        <v>502020</v>
      </c>
    </row>
    <row r="219" spans="1:5" x14ac:dyDescent="0.4">
      <c r="A219" t="s">
        <v>21</v>
      </c>
      <c r="B219" t="s">
        <v>39</v>
      </c>
      <c r="C219">
        <v>1845180.11</v>
      </c>
      <c r="D219">
        <f>VLOOKUP(表1_[[#This Row],[地区]],Sheet2!A:B,2,0)</f>
        <v>500000</v>
      </c>
      <c r="E219">
        <f>表1_[[#This Row],[年份]]+表1_[[#This Row],[行政区域]]</f>
        <v>502021</v>
      </c>
    </row>
    <row r="220" spans="1:5" x14ac:dyDescent="0.4">
      <c r="A220" t="s">
        <v>21</v>
      </c>
      <c r="B220" t="s">
        <v>40</v>
      </c>
      <c r="C220">
        <v>5594685</v>
      </c>
      <c r="D220">
        <f>VLOOKUP(表1_[[#This Row],[地区]],Sheet2!A:B,2,0)</f>
        <v>500000</v>
      </c>
      <c r="E220">
        <f>表1_[[#This Row],[年份]]+表1_[[#This Row],[行政区域]]</f>
        <v>502022</v>
      </c>
    </row>
    <row r="221" spans="1:5" x14ac:dyDescent="0.4">
      <c r="A221" t="s">
        <v>21</v>
      </c>
      <c r="B221" t="s">
        <v>41</v>
      </c>
      <c r="C221">
        <v>7184904</v>
      </c>
      <c r="D221">
        <f>VLOOKUP(表1_[[#This Row],[地区]],Sheet2!A:B,2,0)</f>
        <v>500000</v>
      </c>
      <c r="E221">
        <f>表1_[[#This Row],[年份]]+表1_[[#This Row],[行政区域]]</f>
        <v>502023</v>
      </c>
    </row>
    <row r="222" spans="1:5" x14ac:dyDescent="0.4">
      <c r="A222" t="s">
        <v>22</v>
      </c>
      <c r="B222" t="s">
        <v>32</v>
      </c>
      <c r="C222">
        <v>1990506.36</v>
      </c>
      <c r="D222">
        <f>VLOOKUP(表1_[[#This Row],[地区]],Sheet2!A:B,2,0)</f>
        <v>510000</v>
      </c>
      <c r="E222">
        <f>表1_[[#This Row],[年份]]+表1_[[#This Row],[行政区域]]</f>
        <v>512014</v>
      </c>
    </row>
    <row r="223" spans="1:5" x14ac:dyDescent="0.4">
      <c r="A223" t="s">
        <v>22</v>
      </c>
      <c r="B223" t="s">
        <v>33</v>
      </c>
      <c r="C223">
        <v>2823201.62</v>
      </c>
      <c r="D223">
        <f>VLOOKUP(表1_[[#This Row],[地区]],Sheet2!A:B,2,0)</f>
        <v>510000</v>
      </c>
      <c r="E223">
        <f>表1_[[#This Row],[年份]]+表1_[[#This Row],[行政区域]]</f>
        <v>512015</v>
      </c>
    </row>
    <row r="224" spans="1:5" x14ac:dyDescent="0.4">
      <c r="A224" t="s">
        <v>22</v>
      </c>
      <c r="B224" t="s">
        <v>34</v>
      </c>
      <c r="C224">
        <v>2993006.36</v>
      </c>
      <c r="D224">
        <f>VLOOKUP(表1_[[#This Row],[地区]],Sheet2!A:B,2,0)</f>
        <v>510000</v>
      </c>
      <c r="E224">
        <f>表1_[[#This Row],[年份]]+表1_[[#This Row],[行政区域]]</f>
        <v>512016</v>
      </c>
    </row>
    <row r="225" spans="1:5" x14ac:dyDescent="0.4">
      <c r="A225" t="s">
        <v>22</v>
      </c>
      <c r="B225" t="s">
        <v>35</v>
      </c>
      <c r="C225">
        <v>4058306.99</v>
      </c>
      <c r="D225">
        <f>VLOOKUP(表1_[[#This Row],[地区]],Sheet2!A:B,2,0)</f>
        <v>510000</v>
      </c>
      <c r="E225">
        <f>表1_[[#This Row],[年份]]+表1_[[#This Row],[行政区域]]</f>
        <v>512017</v>
      </c>
    </row>
    <row r="226" spans="1:5" x14ac:dyDescent="0.4">
      <c r="A226" t="s">
        <v>22</v>
      </c>
      <c r="B226" t="s">
        <v>36</v>
      </c>
      <c r="C226">
        <v>9967010.3399999999</v>
      </c>
      <c r="D226">
        <f>VLOOKUP(表1_[[#This Row],[地区]],Sheet2!A:B,2,0)</f>
        <v>510000</v>
      </c>
      <c r="E226">
        <f>表1_[[#This Row],[年份]]+表1_[[#This Row],[行政区域]]</f>
        <v>512018</v>
      </c>
    </row>
    <row r="227" spans="1:5" x14ac:dyDescent="0.4">
      <c r="A227" t="s">
        <v>22</v>
      </c>
      <c r="B227" t="s">
        <v>37</v>
      </c>
      <c r="C227">
        <v>12119539.17</v>
      </c>
      <c r="D227">
        <f>VLOOKUP(表1_[[#This Row],[地区]],Sheet2!A:B,2,0)</f>
        <v>510000</v>
      </c>
      <c r="E227">
        <f>表1_[[#This Row],[年份]]+表1_[[#This Row],[行政区域]]</f>
        <v>512019</v>
      </c>
    </row>
    <row r="228" spans="1:5" x14ac:dyDescent="0.4">
      <c r="A228" t="s">
        <v>22</v>
      </c>
      <c r="B228" t="s">
        <v>38</v>
      </c>
      <c r="C228">
        <v>12445928.029999999</v>
      </c>
      <c r="D228">
        <f>VLOOKUP(表1_[[#This Row],[地区]],Sheet2!A:B,2,0)</f>
        <v>510000</v>
      </c>
      <c r="E228">
        <f>表1_[[#This Row],[年份]]+表1_[[#This Row],[行政区域]]</f>
        <v>512020</v>
      </c>
    </row>
    <row r="229" spans="1:5" x14ac:dyDescent="0.4">
      <c r="A229" t="s">
        <v>22</v>
      </c>
      <c r="B229" t="s">
        <v>39</v>
      </c>
      <c r="C229">
        <v>13886946.890000001</v>
      </c>
      <c r="D229">
        <f>VLOOKUP(表1_[[#This Row],[地区]],Sheet2!A:B,2,0)</f>
        <v>510000</v>
      </c>
      <c r="E229">
        <f>表1_[[#This Row],[年份]]+表1_[[#This Row],[行政区域]]</f>
        <v>512021</v>
      </c>
    </row>
    <row r="230" spans="1:5" x14ac:dyDescent="0.4">
      <c r="A230" t="s">
        <v>22</v>
      </c>
      <c r="B230" t="s">
        <v>40</v>
      </c>
      <c r="C230">
        <v>16435301</v>
      </c>
      <c r="D230">
        <f>VLOOKUP(表1_[[#This Row],[地区]],Sheet2!A:B,2,0)</f>
        <v>510000</v>
      </c>
      <c r="E230">
        <f>表1_[[#This Row],[年份]]+表1_[[#This Row],[行政区域]]</f>
        <v>512022</v>
      </c>
    </row>
    <row r="231" spans="1:5" x14ac:dyDescent="0.4">
      <c r="A231" t="s">
        <v>22</v>
      </c>
      <c r="B231" t="s">
        <v>41</v>
      </c>
      <c r="C231">
        <v>19421478</v>
      </c>
      <c r="D231">
        <f>VLOOKUP(表1_[[#This Row],[地区]],Sheet2!A:B,2,0)</f>
        <v>510000</v>
      </c>
      <c r="E231">
        <f>表1_[[#This Row],[年份]]+表1_[[#This Row],[行政区域]]</f>
        <v>512023</v>
      </c>
    </row>
    <row r="232" spans="1:5" x14ac:dyDescent="0.4">
      <c r="A232" t="s">
        <v>23</v>
      </c>
      <c r="B232" t="s">
        <v>32</v>
      </c>
      <c r="C232">
        <v>200391.78</v>
      </c>
      <c r="D232">
        <f>VLOOKUP(表1_[[#This Row],[地区]],Sheet2!A:B,2,0)</f>
        <v>520000</v>
      </c>
      <c r="E232">
        <f>表1_[[#This Row],[年份]]+表1_[[#This Row],[行政区域]]</f>
        <v>522014</v>
      </c>
    </row>
    <row r="233" spans="1:5" x14ac:dyDescent="0.4">
      <c r="A233" t="s">
        <v>23</v>
      </c>
      <c r="B233" t="s">
        <v>33</v>
      </c>
      <c r="C233">
        <v>259626.01</v>
      </c>
      <c r="D233">
        <f>VLOOKUP(表1_[[#This Row],[地区]],Sheet2!A:B,2,0)</f>
        <v>520000</v>
      </c>
      <c r="E233">
        <f>表1_[[#This Row],[年份]]+表1_[[#This Row],[行政区域]]</f>
        <v>522015</v>
      </c>
    </row>
    <row r="234" spans="1:5" x14ac:dyDescent="0.4">
      <c r="A234" t="s">
        <v>23</v>
      </c>
      <c r="B234" t="s">
        <v>34</v>
      </c>
      <c r="C234">
        <v>204436.76</v>
      </c>
      <c r="D234">
        <f>VLOOKUP(表1_[[#This Row],[地区]],Sheet2!A:B,2,0)</f>
        <v>520000</v>
      </c>
      <c r="E234">
        <f>表1_[[#This Row],[年份]]+表1_[[#This Row],[行政区域]]</f>
        <v>522016</v>
      </c>
    </row>
    <row r="235" spans="1:5" x14ac:dyDescent="0.4">
      <c r="A235" t="s">
        <v>23</v>
      </c>
      <c r="B235" t="s">
        <v>35</v>
      </c>
      <c r="C235">
        <v>807409.1</v>
      </c>
      <c r="D235">
        <f>VLOOKUP(表1_[[#This Row],[地区]],Sheet2!A:B,2,0)</f>
        <v>520000</v>
      </c>
      <c r="E235">
        <f>表1_[[#This Row],[年份]]+表1_[[#This Row],[行政区域]]</f>
        <v>522017</v>
      </c>
    </row>
    <row r="236" spans="1:5" x14ac:dyDescent="0.4">
      <c r="A236" t="s">
        <v>23</v>
      </c>
      <c r="B236" t="s">
        <v>36</v>
      </c>
      <c r="C236">
        <v>1710975.23</v>
      </c>
      <c r="D236">
        <f>VLOOKUP(表1_[[#This Row],[地区]],Sheet2!A:B,2,0)</f>
        <v>520000</v>
      </c>
      <c r="E236">
        <f>表1_[[#This Row],[年份]]+表1_[[#This Row],[行政区域]]</f>
        <v>522018</v>
      </c>
    </row>
    <row r="237" spans="1:5" x14ac:dyDescent="0.4">
      <c r="A237" t="s">
        <v>23</v>
      </c>
      <c r="B237" t="s">
        <v>37</v>
      </c>
      <c r="C237">
        <v>2271758.13</v>
      </c>
      <c r="D237">
        <f>VLOOKUP(表1_[[#This Row],[地区]],Sheet2!A:B,2,0)</f>
        <v>520000</v>
      </c>
      <c r="E237">
        <f>表1_[[#This Row],[年份]]+表1_[[#This Row],[行政区域]]</f>
        <v>522019</v>
      </c>
    </row>
    <row r="238" spans="1:5" x14ac:dyDescent="0.4">
      <c r="A238" t="s">
        <v>23</v>
      </c>
      <c r="B238" t="s">
        <v>38</v>
      </c>
      <c r="C238">
        <v>2491149.79</v>
      </c>
      <c r="D238">
        <f>VLOOKUP(表1_[[#This Row],[地区]],Sheet2!A:B,2,0)</f>
        <v>520000</v>
      </c>
      <c r="E238">
        <f>表1_[[#This Row],[年份]]+表1_[[#This Row],[行政区域]]</f>
        <v>522020</v>
      </c>
    </row>
    <row r="239" spans="1:5" x14ac:dyDescent="0.4">
      <c r="A239" t="s">
        <v>23</v>
      </c>
      <c r="B239" t="s">
        <v>39</v>
      </c>
      <c r="C239">
        <v>2892651.35</v>
      </c>
      <c r="D239">
        <f>VLOOKUP(表1_[[#This Row],[地区]],Sheet2!A:B,2,0)</f>
        <v>520000</v>
      </c>
      <c r="E239">
        <f>表1_[[#This Row],[年份]]+表1_[[#This Row],[行政区域]]</f>
        <v>522021</v>
      </c>
    </row>
    <row r="240" spans="1:5" x14ac:dyDescent="0.4">
      <c r="A240" t="s">
        <v>23</v>
      </c>
      <c r="B240" t="s">
        <v>40</v>
      </c>
      <c r="C240">
        <v>3907245</v>
      </c>
      <c r="D240">
        <f>VLOOKUP(表1_[[#This Row],[地区]],Sheet2!A:B,2,0)</f>
        <v>520000</v>
      </c>
      <c r="E240">
        <f>表1_[[#This Row],[年份]]+表1_[[#This Row],[行政区域]]</f>
        <v>522022</v>
      </c>
    </row>
    <row r="241" spans="1:5" x14ac:dyDescent="0.4">
      <c r="A241" t="s">
        <v>23</v>
      </c>
      <c r="B241" t="s">
        <v>41</v>
      </c>
      <c r="C241">
        <v>4820184</v>
      </c>
      <c r="D241">
        <f>VLOOKUP(表1_[[#This Row],[地区]],Sheet2!A:B,2,0)</f>
        <v>520000</v>
      </c>
      <c r="E241">
        <f>表1_[[#This Row],[年份]]+表1_[[#This Row],[行政区域]]</f>
        <v>522023</v>
      </c>
    </row>
    <row r="242" spans="1:5" x14ac:dyDescent="0.4">
      <c r="A242" t="s">
        <v>24</v>
      </c>
      <c r="B242" t="s">
        <v>32</v>
      </c>
      <c r="C242">
        <v>479233.28000000003</v>
      </c>
      <c r="D242">
        <f>VLOOKUP(表1_[[#This Row],[地区]],Sheet2!A:B,2,0)</f>
        <v>530000</v>
      </c>
      <c r="E242">
        <f>表1_[[#This Row],[年份]]+表1_[[#This Row],[行政区域]]</f>
        <v>532014</v>
      </c>
    </row>
    <row r="243" spans="1:5" x14ac:dyDescent="0.4">
      <c r="A243" t="s">
        <v>24</v>
      </c>
      <c r="B243" t="s">
        <v>33</v>
      </c>
      <c r="C243">
        <v>518364.34</v>
      </c>
      <c r="D243">
        <f>VLOOKUP(表1_[[#This Row],[地区]],Sheet2!A:B,2,0)</f>
        <v>530000</v>
      </c>
      <c r="E243">
        <f>表1_[[#This Row],[年份]]+表1_[[#This Row],[行政区域]]</f>
        <v>532015</v>
      </c>
    </row>
    <row r="244" spans="1:5" x14ac:dyDescent="0.4">
      <c r="A244" t="s">
        <v>24</v>
      </c>
      <c r="B244" t="s">
        <v>34</v>
      </c>
      <c r="C244">
        <v>582559.01</v>
      </c>
      <c r="D244">
        <f>VLOOKUP(表1_[[#This Row],[地区]],Sheet2!A:B,2,0)</f>
        <v>530000</v>
      </c>
      <c r="E244">
        <f>表1_[[#This Row],[年份]]+表1_[[#This Row],[行政区域]]</f>
        <v>532016</v>
      </c>
    </row>
    <row r="245" spans="1:5" x14ac:dyDescent="0.4">
      <c r="A245" t="s">
        <v>24</v>
      </c>
      <c r="B245" t="s">
        <v>35</v>
      </c>
      <c r="C245">
        <v>847624.92</v>
      </c>
      <c r="D245">
        <f>VLOOKUP(表1_[[#This Row],[地区]],Sheet2!A:B,2,0)</f>
        <v>530000</v>
      </c>
      <c r="E245">
        <f>表1_[[#This Row],[年份]]+表1_[[#This Row],[行政区域]]</f>
        <v>532017</v>
      </c>
    </row>
    <row r="246" spans="1:5" x14ac:dyDescent="0.4">
      <c r="A246" t="s">
        <v>24</v>
      </c>
      <c r="B246" t="s">
        <v>36</v>
      </c>
      <c r="C246">
        <v>894879.43</v>
      </c>
      <c r="D246">
        <f>VLOOKUP(表1_[[#This Row],[地区]],Sheet2!A:B,2,0)</f>
        <v>530000</v>
      </c>
      <c r="E246">
        <f>表1_[[#This Row],[年份]]+表1_[[#This Row],[行政区域]]</f>
        <v>532018</v>
      </c>
    </row>
    <row r="247" spans="1:5" x14ac:dyDescent="0.4">
      <c r="A247" t="s">
        <v>24</v>
      </c>
      <c r="B247" t="s">
        <v>37</v>
      </c>
      <c r="C247">
        <v>827040.4</v>
      </c>
      <c r="D247">
        <f>VLOOKUP(表1_[[#This Row],[地区]],Sheet2!A:B,2,0)</f>
        <v>530000</v>
      </c>
      <c r="E247">
        <f>表1_[[#This Row],[年份]]+表1_[[#This Row],[行政区域]]</f>
        <v>532019</v>
      </c>
    </row>
    <row r="248" spans="1:5" x14ac:dyDescent="0.4">
      <c r="A248" t="s">
        <v>24</v>
      </c>
      <c r="B248" t="s">
        <v>38</v>
      </c>
      <c r="C248">
        <v>499497.6</v>
      </c>
      <c r="D248">
        <f>VLOOKUP(表1_[[#This Row],[地区]],Sheet2!A:B,2,0)</f>
        <v>530000</v>
      </c>
      <c r="E248">
        <f>表1_[[#This Row],[年份]]+表1_[[#This Row],[行政区域]]</f>
        <v>532020</v>
      </c>
    </row>
    <row r="249" spans="1:5" x14ac:dyDescent="0.4">
      <c r="A249" t="s">
        <v>24</v>
      </c>
      <c r="B249" t="s">
        <v>39</v>
      </c>
      <c r="C249">
        <v>1060952.68</v>
      </c>
      <c r="D249">
        <f>VLOOKUP(表1_[[#This Row],[地区]],Sheet2!A:B,2,0)</f>
        <v>530000</v>
      </c>
      <c r="E249">
        <f>表1_[[#This Row],[年份]]+表1_[[#This Row],[行政区域]]</f>
        <v>532021</v>
      </c>
    </row>
    <row r="250" spans="1:5" x14ac:dyDescent="0.4">
      <c r="A250" t="s">
        <v>24</v>
      </c>
      <c r="B250" t="s">
        <v>40</v>
      </c>
      <c r="C250">
        <v>2189452</v>
      </c>
      <c r="D250">
        <f>VLOOKUP(表1_[[#This Row],[地区]],Sheet2!A:B,2,0)</f>
        <v>530000</v>
      </c>
      <c r="E250">
        <f>表1_[[#This Row],[年份]]+表1_[[#This Row],[行政区域]]</f>
        <v>532022</v>
      </c>
    </row>
    <row r="251" spans="1:5" x14ac:dyDescent="0.4">
      <c r="A251" t="s">
        <v>24</v>
      </c>
      <c r="B251" t="s">
        <v>41</v>
      </c>
      <c r="C251">
        <v>2688786</v>
      </c>
      <c r="D251">
        <f>VLOOKUP(表1_[[#This Row],[地区]],Sheet2!A:B,2,0)</f>
        <v>530000</v>
      </c>
      <c r="E251">
        <f>表1_[[#This Row],[年份]]+表1_[[#This Row],[行政区域]]</f>
        <v>532023</v>
      </c>
    </row>
    <row r="252" spans="1:5" x14ac:dyDescent="0.4">
      <c r="A252" t="s">
        <v>25</v>
      </c>
      <c r="B252" t="s">
        <v>32</v>
      </c>
      <c r="C252">
        <v>6400197.9299999997</v>
      </c>
      <c r="D252">
        <f>VLOOKUP(表1_[[#This Row],[地区]],Sheet2!A:B,2,0)</f>
        <v>610000</v>
      </c>
      <c r="E252">
        <f>表1_[[#This Row],[年份]]+表1_[[#This Row],[行政区域]]</f>
        <v>612014</v>
      </c>
    </row>
    <row r="253" spans="1:5" x14ac:dyDescent="0.4">
      <c r="A253" t="s">
        <v>25</v>
      </c>
      <c r="B253" t="s">
        <v>33</v>
      </c>
      <c r="C253">
        <v>7218211.0499999998</v>
      </c>
      <c r="D253">
        <f>VLOOKUP(表1_[[#This Row],[地区]],Sheet2!A:B,2,0)</f>
        <v>610000</v>
      </c>
      <c r="E253">
        <f>表1_[[#This Row],[年份]]+表1_[[#This Row],[行政区域]]</f>
        <v>612015</v>
      </c>
    </row>
    <row r="254" spans="1:5" x14ac:dyDescent="0.4">
      <c r="A254" t="s">
        <v>25</v>
      </c>
      <c r="B254" t="s">
        <v>34</v>
      </c>
      <c r="C254">
        <v>8027887.0499999998</v>
      </c>
      <c r="D254">
        <f>VLOOKUP(表1_[[#This Row],[地区]],Sheet2!A:B,2,0)</f>
        <v>610000</v>
      </c>
      <c r="E254">
        <f>表1_[[#This Row],[年份]]+表1_[[#This Row],[行政区域]]</f>
        <v>612016</v>
      </c>
    </row>
    <row r="255" spans="1:5" x14ac:dyDescent="0.4">
      <c r="A255" t="s">
        <v>25</v>
      </c>
      <c r="B255" t="s">
        <v>35</v>
      </c>
      <c r="C255">
        <v>9209395.2699999996</v>
      </c>
      <c r="D255">
        <f>VLOOKUP(表1_[[#This Row],[地区]],Sheet2!A:B,2,0)</f>
        <v>610000</v>
      </c>
      <c r="E255">
        <f>表1_[[#This Row],[年份]]+表1_[[#This Row],[行政区域]]</f>
        <v>612017</v>
      </c>
    </row>
    <row r="256" spans="1:5" x14ac:dyDescent="0.4">
      <c r="A256" t="s">
        <v>25</v>
      </c>
      <c r="B256" t="s">
        <v>36</v>
      </c>
      <c r="C256">
        <v>11252908.4</v>
      </c>
      <c r="D256">
        <f>VLOOKUP(表1_[[#This Row],[地区]],Sheet2!A:B,2,0)</f>
        <v>610000</v>
      </c>
      <c r="E256">
        <f>表1_[[#This Row],[年份]]+表1_[[#This Row],[行政区域]]</f>
        <v>612018</v>
      </c>
    </row>
    <row r="257" spans="1:5" x14ac:dyDescent="0.4">
      <c r="A257" t="s">
        <v>25</v>
      </c>
      <c r="B257" t="s">
        <v>37</v>
      </c>
      <c r="C257">
        <v>14673473.18</v>
      </c>
      <c r="D257">
        <f>VLOOKUP(表1_[[#This Row],[地区]],Sheet2!A:B,2,0)</f>
        <v>610000</v>
      </c>
      <c r="E257">
        <f>表1_[[#This Row],[年份]]+表1_[[#This Row],[行政区域]]</f>
        <v>612019</v>
      </c>
    </row>
    <row r="258" spans="1:5" x14ac:dyDescent="0.4">
      <c r="A258" t="s">
        <v>25</v>
      </c>
      <c r="B258" t="s">
        <v>38</v>
      </c>
      <c r="C258">
        <v>17587198.23</v>
      </c>
      <c r="D258">
        <f>VLOOKUP(表1_[[#This Row],[地区]],Sheet2!A:B,2,0)</f>
        <v>610000</v>
      </c>
      <c r="E258">
        <f>表1_[[#This Row],[年份]]+表1_[[#This Row],[行政区域]]</f>
        <v>612020</v>
      </c>
    </row>
    <row r="259" spans="1:5" x14ac:dyDescent="0.4">
      <c r="A259" t="s">
        <v>25</v>
      </c>
      <c r="B259" t="s">
        <v>39</v>
      </c>
      <c r="C259">
        <v>23434410.710000001</v>
      </c>
      <c r="D259">
        <f>VLOOKUP(表1_[[#This Row],[地区]],Sheet2!A:B,2,0)</f>
        <v>610000</v>
      </c>
      <c r="E259">
        <f>表1_[[#This Row],[年份]]+表1_[[#This Row],[行政区域]]</f>
        <v>612021</v>
      </c>
    </row>
    <row r="260" spans="1:5" x14ac:dyDescent="0.4">
      <c r="A260" t="s">
        <v>25</v>
      </c>
      <c r="B260" t="s">
        <v>40</v>
      </c>
      <c r="C260">
        <v>30487345</v>
      </c>
      <c r="D260">
        <f>VLOOKUP(表1_[[#This Row],[地区]],Sheet2!A:B,2,0)</f>
        <v>610000</v>
      </c>
      <c r="E260">
        <f>表1_[[#This Row],[年份]]+表1_[[#This Row],[行政区域]]</f>
        <v>612022</v>
      </c>
    </row>
    <row r="261" spans="1:5" x14ac:dyDescent="0.4">
      <c r="A261" t="s">
        <v>25</v>
      </c>
      <c r="B261" t="s">
        <v>41</v>
      </c>
      <c r="C261">
        <v>41184641</v>
      </c>
      <c r="D261">
        <f>VLOOKUP(表1_[[#This Row],[地区]],Sheet2!A:B,2,0)</f>
        <v>610000</v>
      </c>
      <c r="E261">
        <f>表1_[[#This Row],[年份]]+表1_[[#This Row],[行政区域]]</f>
        <v>612023</v>
      </c>
    </row>
    <row r="262" spans="1:5" x14ac:dyDescent="0.4">
      <c r="A262" t="s">
        <v>26</v>
      </c>
      <c r="B262" t="s">
        <v>32</v>
      </c>
      <c r="C262">
        <v>1145162.25</v>
      </c>
      <c r="D262">
        <f>VLOOKUP(表1_[[#This Row],[地区]],Sheet2!A:B,2,0)</f>
        <v>620000</v>
      </c>
      <c r="E262">
        <f>表1_[[#This Row],[年份]]+表1_[[#This Row],[行政区域]]</f>
        <v>622014</v>
      </c>
    </row>
    <row r="263" spans="1:5" x14ac:dyDescent="0.4">
      <c r="A263" t="s">
        <v>26</v>
      </c>
      <c r="B263" t="s">
        <v>33</v>
      </c>
      <c r="C263">
        <v>1296957.95</v>
      </c>
      <c r="D263">
        <f>VLOOKUP(表1_[[#This Row],[地区]],Sheet2!A:B,2,0)</f>
        <v>620000</v>
      </c>
      <c r="E263">
        <f>表1_[[#This Row],[年份]]+表1_[[#This Row],[行政区域]]</f>
        <v>622015</v>
      </c>
    </row>
    <row r="264" spans="1:5" x14ac:dyDescent="0.4">
      <c r="A264" t="s">
        <v>26</v>
      </c>
      <c r="B264" t="s">
        <v>34</v>
      </c>
      <c r="C264">
        <v>1506615.36</v>
      </c>
      <c r="D264">
        <f>VLOOKUP(表1_[[#This Row],[地区]],Sheet2!A:B,2,0)</f>
        <v>620000</v>
      </c>
      <c r="E264">
        <f>表1_[[#This Row],[年份]]+表1_[[#This Row],[行政区域]]</f>
        <v>622016</v>
      </c>
    </row>
    <row r="265" spans="1:5" x14ac:dyDescent="0.4">
      <c r="A265" t="s">
        <v>26</v>
      </c>
      <c r="B265" t="s">
        <v>35</v>
      </c>
      <c r="C265">
        <v>1629587.4</v>
      </c>
      <c r="D265">
        <f>VLOOKUP(表1_[[#This Row],[地区]],Sheet2!A:B,2,0)</f>
        <v>620000</v>
      </c>
      <c r="E265">
        <f>表1_[[#This Row],[年份]]+表1_[[#This Row],[行政区域]]</f>
        <v>622017</v>
      </c>
    </row>
    <row r="266" spans="1:5" x14ac:dyDescent="0.4">
      <c r="A266" t="s">
        <v>26</v>
      </c>
      <c r="B266" t="s">
        <v>36</v>
      </c>
      <c r="C266">
        <v>1808778.36</v>
      </c>
      <c r="D266">
        <f>VLOOKUP(表1_[[#This Row],[地区]],Sheet2!A:B,2,0)</f>
        <v>620000</v>
      </c>
      <c r="E266">
        <f>表1_[[#This Row],[年份]]+表1_[[#This Row],[行政区域]]</f>
        <v>622018</v>
      </c>
    </row>
    <row r="267" spans="1:5" x14ac:dyDescent="0.4">
      <c r="A267" t="s">
        <v>26</v>
      </c>
      <c r="B267" t="s">
        <v>37</v>
      </c>
      <c r="C267">
        <v>1964171.17</v>
      </c>
      <c r="D267">
        <f>VLOOKUP(表1_[[#This Row],[地区]],Sheet2!A:B,2,0)</f>
        <v>620000</v>
      </c>
      <c r="E267">
        <f>表1_[[#This Row],[年份]]+表1_[[#This Row],[行政区域]]</f>
        <v>622019</v>
      </c>
    </row>
    <row r="268" spans="1:5" x14ac:dyDescent="0.4">
      <c r="A268" t="s">
        <v>26</v>
      </c>
      <c r="B268" t="s">
        <v>38</v>
      </c>
      <c r="C268">
        <v>2331559.35</v>
      </c>
      <c r="D268">
        <f>VLOOKUP(表1_[[#This Row],[地区]],Sheet2!A:B,2,0)</f>
        <v>620000</v>
      </c>
      <c r="E268">
        <f>表1_[[#This Row],[年份]]+表1_[[#This Row],[行政区域]]</f>
        <v>622020</v>
      </c>
    </row>
    <row r="269" spans="1:5" x14ac:dyDescent="0.4">
      <c r="A269" t="s">
        <v>26</v>
      </c>
      <c r="B269" t="s">
        <v>39</v>
      </c>
      <c r="C269">
        <v>2803920.76</v>
      </c>
      <c r="D269">
        <f>VLOOKUP(表1_[[#This Row],[地区]],Sheet2!A:B,2,0)</f>
        <v>620000</v>
      </c>
      <c r="E269">
        <f>表1_[[#This Row],[年份]]+表1_[[#This Row],[行政区域]]</f>
        <v>622021</v>
      </c>
    </row>
    <row r="270" spans="1:5" x14ac:dyDescent="0.4">
      <c r="A270" t="s">
        <v>26</v>
      </c>
      <c r="B270" t="s">
        <v>40</v>
      </c>
      <c r="C270">
        <v>3358410</v>
      </c>
      <c r="D270">
        <f>VLOOKUP(表1_[[#This Row],[地区]],Sheet2!A:B,2,0)</f>
        <v>620000</v>
      </c>
      <c r="E270">
        <f>表1_[[#This Row],[年份]]+表1_[[#This Row],[行政区域]]</f>
        <v>622022</v>
      </c>
    </row>
    <row r="271" spans="1:5" x14ac:dyDescent="0.4">
      <c r="A271" t="s">
        <v>26</v>
      </c>
      <c r="B271" t="s">
        <v>41</v>
      </c>
      <c r="C271">
        <v>4648103</v>
      </c>
      <c r="D271">
        <f>VLOOKUP(表1_[[#This Row],[地区]],Sheet2!A:B,2,0)</f>
        <v>620000</v>
      </c>
      <c r="E271">
        <f>表1_[[#This Row],[年份]]+表1_[[#This Row],[行政区域]]</f>
        <v>622023</v>
      </c>
    </row>
    <row r="272" spans="1:5" x14ac:dyDescent="0.4">
      <c r="A272" t="s">
        <v>27</v>
      </c>
      <c r="B272" t="s">
        <v>32</v>
      </c>
      <c r="C272">
        <v>291001.09000000003</v>
      </c>
      <c r="D272">
        <f>VLOOKUP(表1_[[#This Row],[地区]],Sheet2!A:B,2,0)</f>
        <v>630000</v>
      </c>
      <c r="E272">
        <f>表1_[[#This Row],[年份]]+表1_[[#This Row],[行政区域]]</f>
        <v>632014</v>
      </c>
    </row>
    <row r="273" spans="1:5" x14ac:dyDescent="0.4">
      <c r="A273" t="s">
        <v>27</v>
      </c>
      <c r="B273" t="s">
        <v>33</v>
      </c>
      <c r="C273">
        <v>468848.7</v>
      </c>
      <c r="D273">
        <f>VLOOKUP(表1_[[#This Row],[地区]],Sheet2!A:B,2,0)</f>
        <v>630000</v>
      </c>
      <c r="E273">
        <f>表1_[[#This Row],[年份]]+表1_[[#This Row],[行政区域]]</f>
        <v>632015</v>
      </c>
    </row>
    <row r="274" spans="1:5" x14ac:dyDescent="0.4">
      <c r="A274" t="s">
        <v>27</v>
      </c>
      <c r="B274" t="s">
        <v>34</v>
      </c>
      <c r="C274">
        <v>569189.63</v>
      </c>
      <c r="D274">
        <f>VLOOKUP(表1_[[#This Row],[地区]],Sheet2!A:B,2,0)</f>
        <v>630000</v>
      </c>
      <c r="E274">
        <f>表1_[[#This Row],[年份]]+表1_[[#This Row],[行政区域]]</f>
        <v>632016</v>
      </c>
    </row>
    <row r="275" spans="1:5" x14ac:dyDescent="0.4">
      <c r="A275" t="s">
        <v>27</v>
      </c>
      <c r="B275" t="s">
        <v>35</v>
      </c>
      <c r="C275">
        <v>677186.32</v>
      </c>
      <c r="D275">
        <f>VLOOKUP(表1_[[#This Row],[地区]],Sheet2!A:B,2,0)</f>
        <v>630000</v>
      </c>
      <c r="E275">
        <f>表1_[[#This Row],[年份]]+表1_[[#This Row],[行政区域]]</f>
        <v>632017</v>
      </c>
    </row>
    <row r="276" spans="1:5" x14ac:dyDescent="0.4">
      <c r="A276" t="s">
        <v>27</v>
      </c>
      <c r="B276" t="s">
        <v>36</v>
      </c>
      <c r="C276">
        <v>793553.3</v>
      </c>
      <c r="D276">
        <f>VLOOKUP(表1_[[#This Row],[地区]],Sheet2!A:B,2,0)</f>
        <v>630000</v>
      </c>
      <c r="E276">
        <f>表1_[[#This Row],[年份]]+表1_[[#This Row],[行政区域]]</f>
        <v>632018</v>
      </c>
    </row>
    <row r="277" spans="1:5" x14ac:dyDescent="0.4">
      <c r="A277" t="s">
        <v>27</v>
      </c>
      <c r="B277" t="s">
        <v>37</v>
      </c>
      <c r="C277">
        <v>90968.62</v>
      </c>
      <c r="D277">
        <f>VLOOKUP(表1_[[#This Row],[地区]],Sheet2!A:B,2,0)</f>
        <v>630000</v>
      </c>
      <c r="E277">
        <f>表1_[[#This Row],[年份]]+表1_[[#This Row],[行政区域]]</f>
        <v>632019</v>
      </c>
    </row>
    <row r="278" spans="1:5" x14ac:dyDescent="0.4">
      <c r="A278" t="s">
        <v>27</v>
      </c>
      <c r="B278" t="s">
        <v>38</v>
      </c>
      <c r="C278">
        <v>105626.49</v>
      </c>
      <c r="D278">
        <f>VLOOKUP(表1_[[#This Row],[地区]],Sheet2!A:B,2,0)</f>
        <v>630000</v>
      </c>
      <c r="E278">
        <f>表1_[[#This Row],[年份]]+表1_[[#This Row],[行政区域]]</f>
        <v>632020</v>
      </c>
    </row>
    <row r="279" spans="1:5" x14ac:dyDescent="0.4">
      <c r="A279" t="s">
        <v>27</v>
      </c>
      <c r="B279" t="s">
        <v>39</v>
      </c>
      <c r="C279">
        <v>141042.4</v>
      </c>
      <c r="D279">
        <f>VLOOKUP(表1_[[#This Row],[地区]],Sheet2!A:B,2,0)</f>
        <v>630000</v>
      </c>
      <c r="E279">
        <f>表1_[[#This Row],[年份]]+表1_[[#This Row],[行政区域]]</f>
        <v>632021</v>
      </c>
    </row>
    <row r="280" spans="1:5" x14ac:dyDescent="0.4">
      <c r="A280" t="s">
        <v>27</v>
      </c>
      <c r="B280" t="s">
        <v>40</v>
      </c>
      <c r="C280">
        <v>160342</v>
      </c>
      <c r="D280">
        <f>VLOOKUP(表1_[[#This Row],[地区]],Sheet2!A:B,2,0)</f>
        <v>630000</v>
      </c>
      <c r="E280">
        <f>表1_[[#This Row],[年份]]+表1_[[#This Row],[行政区域]]</f>
        <v>632022</v>
      </c>
    </row>
    <row r="281" spans="1:5" x14ac:dyDescent="0.4">
      <c r="A281" t="s">
        <v>27</v>
      </c>
      <c r="B281" t="s">
        <v>41</v>
      </c>
      <c r="C281">
        <v>193042</v>
      </c>
      <c r="D281">
        <f>VLOOKUP(表1_[[#This Row],[地区]],Sheet2!A:B,2,0)</f>
        <v>630000</v>
      </c>
      <c r="E281">
        <f>表1_[[#This Row],[年份]]+表1_[[#This Row],[行政区域]]</f>
        <v>632023</v>
      </c>
    </row>
    <row r="282" spans="1:5" x14ac:dyDescent="0.4">
      <c r="A282" t="s">
        <v>28</v>
      </c>
      <c r="B282" t="s">
        <v>32</v>
      </c>
      <c r="C282">
        <v>31822.79</v>
      </c>
      <c r="D282">
        <f>VLOOKUP(表1_[[#This Row],[地区]],Sheet2!A:B,2,0)</f>
        <v>640000</v>
      </c>
      <c r="E282">
        <f>表1_[[#This Row],[年份]]+表1_[[#This Row],[行政区域]]</f>
        <v>642014</v>
      </c>
    </row>
    <row r="283" spans="1:5" x14ac:dyDescent="0.4">
      <c r="A283" t="s">
        <v>28</v>
      </c>
      <c r="B283" t="s">
        <v>33</v>
      </c>
      <c r="C283">
        <v>35201.81</v>
      </c>
      <c r="D283">
        <f>VLOOKUP(表1_[[#This Row],[地区]],Sheet2!A:B,2,0)</f>
        <v>640000</v>
      </c>
      <c r="E283">
        <f>表1_[[#This Row],[年份]]+表1_[[#This Row],[行政区域]]</f>
        <v>642015</v>
      </c>
    </row>
    <row r="284" spans="1:5" x14ac:dyDescent="0.4">
      <c r="A284" t="s">
        <v>28</v>
      </c>
      <c r="B284" t="s">
        <v>34</v>
      </c>
      <c r="C284">
        <v>40525.730000000003</v>
      </c>
      <c r="D284">
        <f>VLOOKUP(表1_[[#This Row],[地区]],Sheet2!A:B,2,0)</f>
        <v>640000</v>
      </c>
      <c r="E284">
        <f>表1_[[#This Row],[年份]]+表1_[[#This Row],[行政区域]]</f>
        <v>642016</v>
      </c>
    </row>
    <row r="285" spans="1:5" x14ac:dyDescent="0.4">
      <c r="A285" t="s">
        <v>28</v>
      </c>
      <c r="B285" t="s">
        <v>35</v>
      </c>
      <c r="C285">
        <v>66678.679999999993</v>
      </c>
      <c r="D285">
        <f>VLOOKUP(表1_[[#This Row],[地区]],Sheet2!A:B,2,0)</f>
        <v>640000</v>
      </c>
      <c r="E285">
        <f>表1_[[#This Row],[年份]]+表1_[[#This Row],[行政区域]]</f>
        <v>642017</v>
      </c>
    </row>
    <row r="286" spans="1:5" x14ac:dyDescent="0.4">
      <c r="A286" t="s">
        <v>28</v>
      </c>
      <c r="B286" t="s">
        <v>36</v>
      </c>
      <c r="C286">
        <v>121057.89</v>
      </c>
      <c r="D286">
        <f>VLOOKUP(表1_[[#This Row],[地区]],Sheet2!A:B,2,0)</f>
        <v>640000</v>
      </c>
      <c r="E286">
        <f>表1_[[#This Row],[年份]]+表1_[[#This Row],[行政区域]]</f>
        <v>642018</v>
      </c>
    </row>
    <row r="287" spans="1:5" x14ac:dyDescent="0.4">
      <c r="A287" t="s">
        <v>28</v>
      </c>
      <c r="B287" t="s">
        <v>37</v>
      </c>
      <c r="C287">
        <v>149033.1</v>
      </c>
      <c r="D287">
        <f>VLOOKUP(表1_[[#This Row],[地区]],Sheet2!A:B,2,0)</f>
        <v>640000</v>
      </c>
      <c r="E287">
        <f>表1_[[#This Row],[年份]]+表1_[[#This Row],[行政区域]]</f>
        <v>642019</v>
      </c>
    </row>
    <row r="288" spans="1:5" x14ac:dyDescent="0.4">
      <c r="A288" t="s">
        <v>28</v>
      </c>
      <c r="B288" t="s">
        <v>38</v>
      </c>
      <c r="C288">
        <v>168054.19</v>
      </c>
      <c r="D288">
        <f>VLOOKUP(表1_[[#This Row],[地区]],Sheet2!A:B,2,0)</f>
        <v>640000</v>
      </c>
      <c r="E288">
        <f>表1_[[#This Row],[年份]]+表1_[[#This Row],[行政区域]]</f>
        <v>642020</v>
      </c>
    </row>
    <row r="289" spans="1:5" x14ac:dyDescent="0.4">
      <c r="A289" t="s">
        <v>28</v>
      </c>
      <c r="B289" t="s">
        <v>39</v>
      </c>
      <c r="C289">
        <v>250946.99</v>
      </c>
      <c r="D289">
        <f>VLOOKUP(表1_[[#This Row],[地区]],Sheet2!A:B,2,0)</f>
        <v>640000</v>
      </c>
      <c r="E289">
        <f>表1_[[#This Row],[年份]]+表1_[[#This Row],[行政区域]]</f>
        <v>642021</v>
      </c>
    </row>
    <row r="290" spans="1:5" x14ac:dyDescent="0.4">
      <c r="A290" t="s">
        <v>28</v>
      </c>
      <c r="B290" t="s">
        <v>40</v>
      </c>
      <c r="C290">
        <v>340474</v>
      </c>
      <c r="D290">
        <f>VLOOKUP(表1_[[#This Row],[地区]],Sheet2!A:B,2,0)</f>
        <v>640000</v>
      </c>
      <c r="E290">
        <f>表1_[[#This Row],[年份]]+表1_[[#This Row],[行政区域]]</f>
        <v>642022</v>
      </c>
    </row>
    <row r="291" spans="1:5" x14ac:dyDescent="0.4">
      <c r="A291" t="s">
        <v>28</v>
      </c>
      <c r="B291" t="s">
        <v>41</v>
      </c>
      <c r="C291">
        <v>402960</v>
      </c>
      <c r="D291">
        <f>VLOOKUP(表1_[[#This Row],[地区]],Sheet2!A:B,2,0)</f>
        <v>640000</v>
      </c>
      <c r="E291">
        <f>表1_[[#This Row],[年份]]+表1_[[#This Row],[行政区域]]</f>
        <v>642023</v>
      </c>
    </row>
    <row r="292" spans="1:5" x14ac:dyDescent="0.4">
      <c r="A292" t="s">
        <v>29</v>
      </c>
      <c r="B292" t="s">
        <v>32</v>
      </c>
      <c r="C292">
        <v>28223.43</v>
      </c>
      <c r="D292">
        <f>VLOOKUP(表1_[[#This Row],[地区]],Sheet2!A:B,2,0)</f>
        <v>650000</v>
      </c>
      <c r="E292">
        <f>表1_[[#This Row],[年份]]+表1_[[#This Row],[行政区域]]</f>
        <v>652014</v>
      </c>
    </row>
    <row r="293" spans="1:5" x14ac:dyDescent="0.4">
      <c r="A293" t="s">
        <v>29</v>
      </c>
      <c r="B293" t="s">
        <v>33</v>
      </c>
      <c r="C293">
        <v>30321.57</v>
      </c>
      <c r="D293">
        <f>VLOOKUP(表1_[[#This Row],[地区]],Sheet2!A:B,2,0)</f>
        <v>650000</v>
      </c>
      <c r="E293">
        <f>表1_[[#This Row],[年份]]+表1_[[#This Row],[行政区域]]</f>
        <v>652015</v>
      </c>
    </row>
    <row r="294" spans="1:5" x14ac:dyDescent="0.4">
      <c r="A294" t="s">
        <v>29</v>
      </c>
      <c r="B294" t="s">
        <v>34</v>
      </c>
      <c r="C294">
        <v>42754.61</v>
      </c>
      <c r="D294">
        <f>VLOOKUP(表1_[[#This Row],[地区]],Sheet2!A:B,2,0)</f>
        <v>650000</v>
      </c>
      <c r="E294">
        <f>表1_[[#This Row],[年份]]+表1_[[#This Row],[行政区域]]</f>
        <v>652016</v>
      </c>
    </row>
    <row r="295" spans="1:5" x14ac:dyDescent="0.4">
      <c r="A295" t="s">
        <v>29</v>
      </c>
      <c r="B295" t="s">
        <v>35</v>
      </c>
      <c r="C295">
        <v>57553.53</v>
      </c>
      <c r="D295">
        <f>VLOOKUP(表1_[[#This Row],[地区]],Sheet2!A:B,2,0)</f>
        <v>650000</v>
      </c>
      <c r="E295">
        <f>表1_[[#This Row],[年份]]+表1_[[#This Row],[行政区域]]</f>
        <v>652017</v>
      </c>
    </row>
    <row r="296" spans="1:5" x14ac:dyDescent="0.4">
      <c r="A296" t="s">
        <v>29</v>
      </c>
      <c r="B296" t="s">
        <v>36</v>
      </c>
      <c r="C296">
        <v>39214.67</v>
      </c>
      <c r="D296">
        <f>VLOOKUP(表1_[[#This Row],[地区]],Sheet2!A:B,2,0)</f>
        <v>650000</v>
      </c>
      <c r="E296">
        <f>表1_[[#This Row],[年份]]+表1_[[#This Row],[行政区域]]</f>
        <v>652018</v>
      </c>
    </row>
    <row r="297" spans="1:5" x14ac:dyDescent="0.4">
      <c r="A297" t="s">
        <v>29</v>
      </c>
      <c r="B297" t="s">
        <v>37</v>
      </c>
      <c r="C297">
        <v>78213.55</v>
      </c>
      <c r="D297">
        <f>VLOOKUP(表1_[[#This Row],[地区]],Sheet2!A:B,2,0)</f>
        <v>650000</v>
      </c>
      <c r="E297">
        <f>表1_[[#This Row],[年份]]+表1_[[#This Row],[行政区域]]</f>
        <v>652019</v>
      </c>
    </row>
    <row r="298" spans="1:5" x14ac:dyDescent="0.4">
      <c r="A298" t="s">
        <v>29</v>
      </c>
      <c r="B298" t="s">
        <v>38</v>
      </c>
      <c r="C298">
        <v>151122.96</v>
      </c>
      <c r="D298">
        <f>VLOOKUP(表1_[[#This Row],[地区]],Sheet2!A:B,2,0)</f>
        <v>650000</v>
      </c>
      <c r="E298">
        <f>表1_[[#This Row],[年份]]+表1_[[#This Row],[行政区域]]</f>
        <v>652020</v>
      </c>
    </row>
    <row r="299" spans="1:5" x14ac:dyDescent="0.4">
      <c r="A299" t="s">
        <v>29</v>
      </c>
      <c r="B299" t="s">
        <v>39</v>
      </c>
      <c r="C299">
        <v>188537.38</v>
      </c>
      <c r="D299">
        <f>VLOOKUP(表1_[[#This Row],[地区]],Sheet2!A:B,2,0)</f>
        <v>650000</v>
      </c>
      <c r="E299">
        <f>表1_[[#This Row],[年份]]+表1_[[#This Row],[行政区域]]</f>
        <v>652021</v>
      </c>
    </row>
    <row r="300" spans="1:5" x14ac:dyDescent="0.4">
      <c r="A300" t="s">
        <v>29</v>
      </c>
      <c r="B300" t="s">
        <v>40</v>
      </c>
      <c r="C300">
        <v>311791</v>
      </c>
      <c r="D300">
        <f>VLOOKUP(表1_[[#This Row],[地区]],Sheet2!A:B,2,0)</f>
        <v>650000</v>
      </c>
      <c r="E300">
        <f>表1_[[#This Row],[年份]]+表1_[[#This Row],[行政区域]]</f>
        <v>652022</v>
      </c>
    </row>
    <row r="301" spans="1:5" x14ac:dyDescent="0.4">
      <c r="A301" t="s">
        <v>29</v>
      </c>
      <c r="B301" t="s">
        <v>41</v>
      </c>
      <c r="C301">
        <v>735844</v>
      </c>
      <c r="D301">
        <f>VLOOKUP(表1_[[#This Row],[地区]],Sheet2!A:B,2,0)</f>
        <v>650000</v>
      </c>
      <c r="E301">
        <f>表1_[[#This Row],[年份]]+表1_[[#This Row],[行政区域]]</f>
        <v>652023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CF70E-E880-4CC7-A2D9-DE0DE4768B05}">
  <dimension ref="A1:B31"/>
  <sheetViews>
    <sheetView workbookViewId="0">
      <selection activeCell="C4" sqref="C4"/>
    </sheetView>
  </sheetViews>
  <sheetFormatPr defaultRowHeight="13.9" x14ac:dyDescent="0.4"/>
  <cols>
    <col min="1" max="2" width="9.06640625" style="2"/>
  </cols>
  <sheetData>
    <row r="1" spans="1:2" x14ac:dyDescent="0.4">
      <c r="A1" s="2" t="s">
        <v>44</v>
      </c>
      <c r="B1" s="2" t="s">
        <v>45</v>
      </c>
    </row>
    <row r="2" spans="1:2" x14ac:dyDescent="0.4">
      <c r="A2" s="2" t="s">
        <v>0</v>
      </c>
      <c r="B2" s="2">
        <v>110000</v>
      </c>
    </row>
    <row r="3" spans="1:2" x14ac:dyDescent="0.4">
      <c r="A3" s="2" t="s">
        <v>1</v>
      </c>
      <c r="B3" s="2">
        <v>120000</v>
      </c>
    </row>
    <row r="4" spans="1:2" x14ac:dyDescent="0.4">
      <c r="A4" s="2" t="s">
        <v>2</v>
      </c>
      <c r="B4" s="2">
        <v>130000</v>
      </c>
    </row>
    <row r="5" spans="1:2" x14ac:dyDescent="0.4">
      <c r="A5" s="2" t="s">
        <v>3</v>
      </c>
      <c r="B5" s="2">
        <v>140000</v>
      </c>
    </row>
    <row r="6" spans="1:2" x14ac:dyDescent="0.4">
      <c r="A6" s="2" t="s">
        <v>4</v>
      </c>
      <c r="B6" s="2">
        <v>150000</v>
      </c>
    </row>
    <row r="7" spans="1:2" x14ac:dyDescent="0.4">
      <c r="A7" s="2" t="s">
        <v>5</v>
      </c>
      <c r="B7" s="2">
        <v>210000</v>
      </c>
    </row>
    <row r="8" spans="1:2" x14ac:dyDescent="0.4">
      <c r="A8" s="2" t="s">
        <v>6</v>
      </c>
      <c r="B8" s="2">
        <v>220000</v>
      </c>
    </row>
    <row r="9" spans="1:2" x14ac:dyDescent="0.4">
      <c r="A9" s="2" t="s">
        <v>7</v>
      </c>
      <c r="B9" s="2">
        <v>230000</v>
      </c>
    </row>
    <row r="10" spans="1:2" x14ac:dyDescent="0.4">
      <c r="A10" s="2" t="s">
        <v>8</v>
      </c>
      <c r="B10" s="2">
        <v>310000</v>
      </c>
    </row>
    <row r="11" spans="1:2" x14ac:dyDescent="0.4">
      <c r="A11" s="2" t="s">
        <v>9</v>
      </c>
      <c r="B11" s="2">
        <v>320000</v>
      </c>
    </row>
    <row r="12" spans="1:2" x14ac:dyDescent="0.4">
      <c r="A12" s="2" t="s">
        <v>10</v>
      </c>
      <c r="B12" s="2">
        <v>330000</v>
      </c>
    </row>
    <row r="13" spans="1:2" x14ac:dyDescent="0.4">
      <c r="A13" s="2" t="s">
        <v>11</v>
      </c>
      <c r="B13" s="2">
        <v>340000</v>
      </c>
    </row>
    <row r="14" spans="1:2" x14ac:dyDescent="0.4">
      <c r="A14" s="2" t="s">
        <v>12</v>
      </c>
      <c r="B14" s="2">
        <v>350000</v>
      </c>
    </row>
    <row r="15" spans="1:2" x14ac:dyDescent="0.4">
      <c r="A15" s="2" t="s">
        <v>13</v>
      </c>
      <c r="B15" s="2">
        <v>360000</v>
      </c>
    </row>
    <row r="16" spans="1:2" x14ac:dyDescent="0.4">
      <c r="A16" s="2" t="s">
        <v>14</v>
      </c>
      <c r="B16" s="2">
        <v>370000</v>
      </c>
    </row>
    <row r="17" spans="1:2" x14ac:dyDescent="0.4">
      <c r="A17" s="2" t="s">
        <v>15</v>
      </c>
      <c r="B17" s="2">
        <v>410000</v>
      </c>
    </row>
    <row r="18" spans="1:2" x14ac:dyDescent="0.4">
      <c r="A18" s="2" t="s">
        <v>16</v>
      </c>
      <c r="B18" s="2">
        <v>420000</v>
      </c>
    </row>
    <row r="19" spans="1:2" x14ac:dyDescent="0.4">
      <c r="A19" s="2" t="s">
        <v>17</v>
      </c>
      <c r="B19" s="2">
        <v>430000</v>
      </c>
    </row>
    <row r="20" spans="1:2" x14ac:dyDescent="0.4">
      <c r="A20" s="2" t="s">
        <v>18</v>
      </c>
      <c r="B20" s="2">
        <v>440000</v>
      </c>
    </row>
    <row r="21" spans="1:2" x14ac:dyDescent="0.4">
      <c r="A21" s="2" t="s">
        <v>19</v>
      </c>
      <c r="B21" s="2">
        <v>450000</v>
      </c>
    </row>
    <row r="22" spans="1:2" x14ac:dyDescent="0.4">
      <c r="A22" s="2" t="s">
        <v>20</v>
      </c>
      <c r="B22" s="2">
        <v>460000</v>
      </c>
    </row>
    <row r="23" spans="1:2" x14ac:dyDescent="0.4">
      <c r="A23" s="2" t="s">
        <v>21</v>
      </c>
      <c r="B23" s="2">
        <v>500000</v>
      </c>
    </row>
    <row r="24" spans="1:2" x14ac:dyDescent="0.4">
      <c r="A24" s="2" t="s">
        <v>22</v>
      </c>
      <c r="B24" s="2">
        <v>510000</v>
      </c>
    </row>
    <row r="25" spans="1:2" x14ac:dyDescent="0.4">
      <c r="A25" s="2" t="s">
        <v>23</v>
      </c>
      <c r="B25" s="2">
        <v>520000</v>
      </c>
    </row>
    <row r="26" spans="1:2" x14ac:dyDescent="0.4">
      <c r="A26" s="2" t="s">
        <v>24</v>
      </c>
      <c r="B26" s="2">
        <v>530000</v>
      </c>
    </row>
    <row r="27" spans="1:2" x14ac:dyDescent="0.4">
      <c r="A27" s="2" t="s">
        <v>25</v>
      </c>
      <c r="B27" s="2">
        <v>610000</v>
      </c>
    </row>
    <row r="28" spans="1:2" x14ac:dyDescent="0.4">
      <c r="A28" s="2" t="s">
        <v>26</v>
      </c>
      <c r="B28" s="2">
        <v>620000</v>
      </c>
    </row>
    <row r="29" spans="1:2" x14ac:dyDescent="0.4">
      <c r="A29" s="2" t="s">
        <v>27</v>
      </c>
      <c r="B29" s="2">
        <v>630000</v>
      </c>
    </row>
    <row r="30" spans="1:2" x14ac:dyDescent="0.4">
      <c r="A30" s="2" t="s">
        <v>28</v>
      </c>
      <c r="B30" s="2">
        <v>640000</v>
      </c>
    </row>
    <row r="31" spans="1:2" x14ac:dyDescent="0.4">
      <c r="A31" s="2" t="s">
        <v>29</v>
      </c>
      <c r="B31" s="2">
        <v>650000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0192-5A8F-4690-A799-129B369DBEF2}">
  <dimension ref="A1:K31"/>
  <sheetViews>
    <sheetView workbookViewId="0">
      <selection sqref="A1:K31"/>
    </sheetView>
  </sheetViews>
  <sheetFormatPr defaultRowHeight="13.9" x14ac:dyDescent="0.4"/>
  <cols>
    <col min="1" max="1" width="6.6640625" bestFit="1" customWidth="1"/>
    <col min="2" max="12" width="12.59765625" bestFit="1" customWidth="1"/>
  </cols>
  <sheetData>
    <row r="1" spans="1:11" x14ac:dyDescent="0.4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</row>
    <row r="2" spans="1:11" x14ac:dyDescent="0.4">
      <c r="A2" t="s">
        <v>0</v>
      </c>
      <c r="B2" s="1">
        <v>31371853.969999999</v>
      </c>
      <c r="C2" s="1">
        <v>34538854.57</v>
      </c>
      <c r="D2" s="1">
        <v>39409751.789999999</v>
      </c>
      <c r="E2" s="1">
        <v>44868872.020000003</v>
      </c>
      <c r="F2" s="1">
        <v>49578245.590000004</v>
      </c>
      <c r="G2" s="1">
        <v>56952842.57</v>
      </c>
      <c r="H2" s="1">
        <v>63161621.969999999</v>
      </c>
      <c r="I2" s="1">
        <v>70056516.859999999</v>
      </c>
      <c r="J2" s="1">
        <v>79475111</v>
      </c>
      <c r="K2" s="1">
        <v>85369394</v>
      </c>
    </row>
    <row r="3" spans="1:11" x14ac:dyDescent="0.4">
      <c r="A3" t="s">
        <v>1</v>
      </c>
      <c r="B3" s="1">
        <v>3885630.99</v>
      </c>
      <c r="C3" s="1">
        <v>5034368.6500000004</v>
      </c>
      <c r="D3" s="1">
        <v>5526360.6900000004</v>
      </c>
      <c r="E3" s="1">
        <v>5514410.5199999996</v>
      </c>
      <c r="F3" s="1">
        <v>6855875.4000000004</v>
      </c>
      <c r="G3" s="1">
        <v>9092549.4399999995</v>
      </c>
      <c r="H3" s="1">
        <v>10895598.109999999</v>
      </c>
      <c r="I3" s="1">
        <v>12568261.77</v>
      </c>
      <c r="J3" s="1">
        <v>16508667</v>
      </c>
      <c r="K3" s="1">
        <v>19285572</v>
      </c>
    </row>
    <row r="4" spans="1:11" x14ac:dyDescent="0.4">
      <c r="A4" t="s">
        <v>2</v>
      </c>
      <c r="B4" s="1">
        <v>292228.38</v>
      </c>
      <c r="C4" s="1">
        <v>395437.7</v>
      </c>
      <c r="D4" s="1">
        <v>589959.28</v>
      </c>
      <c r="E4" s="1">
        <v>889244.7</v>
      </c>
      <c r="F4" s="1">
        <v>2759840.07</v>
      </c>
      <c r="G4" s="1">
        <v>3811904.43</v>
      </c>
      <c r="H4" s="1">
        <v>5549645.8799999999</v>
      </c>
      <c r="I4" s="1">
        <v>7473181.7400000002</v>
      </c>
      <c r="J4" s="1">
        <v>10038253</v>
      </c>
      <c r="K4" s="1">
        <v>17830882</v>
      </c>
    </row>
    <row r="5" spans="1:11" x14ac:dyDescent="0.4">
      <c r="A5" t="s">
        <v>3</v>
      </c>
      <c r="B5" s="1">
        <v>484595.04</v>
      </c>
      <c r="C5" s="1">
        <v>512007.14</v>
      </c>
      <c r="D5" s="1">
        <v>425621.67</v>
      </c>
      <c r="E5" s="1">
        <v>941470.77</v>
      </c>
      <c r="F5" s="1">
        <v>1507566.61</v>
      </c>
      <c r="G5" s="1">
        <v>1095226.93</v>
      </c>
      <c r="H5" s="1">
        <v>449790.7</v>
      </c>
      <c r="I5" s="1">
        <v>1344736.57</v>
      </c>
      <c r="J5" s="1">
        <v>1614346</v>
      </c>
      <c r="K5" s="1">
        <v>2238585</v>
      </c>
    </row>
    <row r="6" spans="1:11" x14ac:dyDescent="0.4">
      <c r="A6" t="s">
        <v>4</v>
      </c>
      <c r="B6" s="1">
        <v>139393.15</v>
      </c>
      <c r="C6" s="1">
        <v>153871.51999999999</v>
      </c>
      <c r="D6" s="1">
        <v>120492.04</v>
      </c>
      <c r="E6" s="1">
        <v>196086.81</v>
      </c>
      <c r="F6" s="1">
        <v>198398.31</v>
      </c>
      <c r="G6" s="1">
        <v>224792.6</v>
      </c>
      <c r="H6" s="1">
        <v>359540.31</v>
      </c>
      <c r="I6" s="1">
        <v>411477.75</v>
      </c>
      <c r="J6" s="1">
        <v>512988</v>
      </c>
      <c r="K6" s="1">
        <v>609824</v>
      </c>
    </row>
    <row r="7" spans="1:11" x14ac:dyDescent="0.4">
      <c r="A7" t="s">
        <v>5</v>
      </c>
      <c r="B7" s="1">
        <v>2174648.02</v>
      </c>
      <c r="C7" s="1">
        <v>2674926.94</v>
      </c>
      <c r="D7" s="1">
        <v>3232179.58</v>
      </c>
      <c r="E7" s="1">
        <v>3858316.82</v>
      </c>
      <c r="F7" s="1">
        <v>4744910.34</v>
      </c>
      <c r="G7" s="1">
        <v>5575904.1100000003</v>
      </c>
      <c r="H7" s="1">
        <v>6328126.4299999997</v>
      </c>
      <c r="I7" s="1">
        <v>7551239.75</v>
      </c>
      <c r="J7" s="1">
        <v>9713459</v>
      </c>
      <c r="K7" s="1">
        <v>12890739</v>
      </c>
    </row>
    <row r="8" spans="1:11" x14ac:dyDescent="0.4">
      <c r="A8" t="s">
        <v>6</v>
      </c>
      <c r="B8" s="1">
        <v>285755.96000000002</v>
      </c>
      <c r="C8" s="1">
        <v>264697.09999999998</v>
      </c>
      <c r="D8" s="1">
        <v>1164197.79</v>
      </c>
      <c r="E8" s="1">
        <v>2199199.46</v>
      </c>
      <c r="F8" s="1">
        <v>3419460.34</v>
      </c>
      <c r="G8" s="1">
        <v>4741326.88</v>
      </c>
      <c r="H8" s="1">
        <v>4621541.22</v>
      </c>
      <c r="I8" s="1">
        <v>1081467.52</v>
      </c>
      <c r="J8" s="1">
        <v>369481</v>
      </c>
      <c r="K8" s="1">
        <v>839977</v>
      </c>
    </row>
    <row r="9" spans="1:11" x14ac:dyDescent="0.4">
      <c r="A9" t="s">
        <v>7</v>
      </c>
      <c r="B9" s="1">
        <v>1202775.76</v>
      </c>
      <c r="C9" s="1">
        <v>1272637.27</v>
      </c>
      <c r="D9" s="1">
        <v>1258091.1200000001</v>
      </c>
      <c r="E9" s="1">
        <v>1467120.9</v>
      </c>
      <c r="F9" s="1">
        <v>1659200.39</v>
      </c>
      <c r="G9" s="1">
        <v>2328823.5</v>
      </c>
      <c r="H9" s="1">
        <v>2652015.0299999998</v>
      </c>
      <c r="I9" s="1">
        <v>3501427.61</v>
      </c>
      <c r="J9" s="1">
        <v>4601814</v>
      </c>
      <c r="K9" s="1">
        <v>1128827</v>
      </c>
    </row>
    <row r="10" spans="1:11" x14ac:dyDescent="0.4">
      <c r="A10" t="s">
        <v>8</v>
      </c>
      <c r="B10" s="1">
        <v>5924480.8700000001</v>
      </c>
      <c r="C10" s="1">
        <v>6637837.9699999997</v>
      </c>
      <c r="D10" s="1">
        <v>7809858.0800000001</v>
      </c>
      <c r="E10" s="1">
        <v>8106176.5099999998</v>
      </c>
      <c r="F10" s="1">
        <v>12251857.390000001</v>
      </c>
      <c r="G10" s="1">
        <v>14223539.1</v>
      </c>
      <c r="H10" s="1">
        <v>15832248.380000001</v>
      </c>
      <c r="I10" s="1">
        <v>25454910.48</v>
      </c>
      <c r="J10" s="1">
        <v>38707329</v>
      </c>
      <c r="K10" s="1">
        <v>46423364</v>
      </c>
    </row>
    <row r="11" spans="1:11" x14ac:dyDescent="0.4">
      <c r="A11" t="s">
        <v>9</v>
      </c>
      <c r="B11" s="1">
        <v>5431585.2199999997</v>
      </c>
      <c r="C11" s="1">
        <v>5729178.2300000004</v>
      </c>
      <c r="D11" s="1">
        <v>6356424.8099999996</v>
      </c>
      <c r="E11" s="1">
        <v>7784223.3200000003</v>
      </c>
      <c r="F11" s="1">
        <v>9914474.8800000008</v>
      </c>
      <c r="G11" s="1">
        <v>14715193.310000001</v>
      </c>
      <c r="H11" s="1">
        <v>20878467.670000002</v>
      </c>
      <c r="I11" s="1">
        <v>26061663.09</v>
      </c>
      <c r="J11" s="1">
        <v>29867776</v>
      </c>
      <c r="K11" s="1">
        <v>33310038</v>
      </c>
    </row>
    <row r="12" spans="1:11" x14ac:dyDescent="0.4">
      <c r="A12" t="s">
        <v>10</v>
      </c>
      <c r="B12" s="1">
        <v>872527.08</v>
      </c>
      <c r="C12" s="1">
        <v>980965.54</v>
      </c>
      <c r="D12" s="1">
        <v>1983716.22</v>
      </c>
      <c r="E12" s="1">
        <v>3247309.73</v>
      </c>
      <c r="F12" s="1">
        <v>5906640.8099999996</v>
      </c>
      <c r="G12" s="1">
        <v>8880077.8800000008</v>
      </c>
      <c r="H12" s="1">
        <v>14033228.4</v>
      </c>
      <c r="I12" s="1">
        <v>18557774.190000001</v>
      </c>
      <c r="J12" s="1">
        <v>24350738</v>
      </c>
      <c r="K12" s="1">
        <v>43237082</v>
      </c>
    </row>
    <row r="13" spans="1:11" x14ac:dyDescent="0.4">
      <c r="A13" t="s">
        <v>11</v>
      </c>
      <c r="B13" s="1">
        <v>1698312.51</v>
      </c>
      <c r="C13" s="1">
        <v>1904669.26</v>
      </c>
      <c r="D13" s="1">
        <v>2173748.4500000002</v>
      </c>
      <c r="E13" s="1">
        <v>2495696.65</v>
      </c>
      <c r="F13" s="1">
        <v>3213130.59</v>
      </c>
      <c r="G13" s="1">
        <v>4496068.16</v>
      </c>
      <c r="H13" s="1">
        <v>6595728.0899999999</v>
      </c>
      <c r="I13" s="1">
        <v>17877084.079999998</v>
      </c>
      <c r="J13" s="1">
        <v>28754545</v>
      </c>
      <c r="K13" s="1">
        <v>35975671</v>
      </c>
    </row>
    <row r="14" spans="1:11" x14ac:dyDescent="0.4">
      <c r="A14" t="s">
        <v>12</v>
      </c>
      <c r="B14" s="1">
        <v>391913.32</v>
      </c>
      <c r="C14" s="1">
        <v>521448.46</v>
      </c>
      <c r="D14" s="1">
        <v>432203.77</v>
      </c>
      <c r="E14" s="1">
        <v>754633.69</v>
      </c>
      <c r="F14" s="1">
        <v>845235.04</v>
      </c>
      <c r="G14" s="1">
        <v>1395882.53</v>
      </c>
      <c r="H14" s="1">
        <v>1635367.34</v>
      </c>
      <c r="I14" s="1">
        <v>1967975.76</v>
      </c>
      <c r="J14" s="1">
        <v>2595179</v>
      </c>
      <c r="K14" s="1">
        <v>3290010</v>
      </c>
    </row>
    <row r="15" spans="1:11" x14ac:dyDescent="0.4">
      <c r="A15" t="s">
        <v>13</v>
      </c>
      <c r="B15" s="1">
        <v>507593.33</v>
      </c>
      <c r="C15" s="1">
        <v>648483.80000000005</v>
      </c>
      <c r="D15" s="1">
        <v>790077.35</v>
      </c>
      <c r="E15" s="1">
        <v>962095.85</v>
      </c>
      <c r="F15" s="1">
        <v>1158230.83</v>
      </c>
      <c r="G15" s="1">
        <v>1486137.26</v>
      </c>
      <c r="H15" s="1">
        <v>2334098.94</v>
      </c>
      <c r="I15" s="1">
        <v>4093848.94</v>
      </c>
      <c r="J15" s="1">
        <v>7338839</v>
      </c>
      <c r="K15" s="1">
        <v>15848723</v>
      </c>
    </row>
    <row r="16" spans="1:11" x14ac:dyDescent="0.4">
      <c r="A16" t="s">
        <v>14</v>
      </c>
      <c r="B16" s="1">
        <v>2492941.98</v>
      </c>
      <c r="C16" s="1">
        <v>3075545.09</v>
      </c>
      <c r="D16" s="1">
        <v>3959453.44</v>
      </c>
      <c r="E16" s="1">
        <v>5116448.18</v>
      </c>
      <c r="F16" s="1">
        <v>8199519.6600000001</v>
      </c>
      <c r="G16" s="1">
        <v>11100177.609999999</v>
      </c>
      <c r="H16" s="1">
        <v>19038905.989999998</v>
      </c>
      <c r="I16" s="1">
        <v>24777894.920000002</v>
      </c>
      <c r="J16" s="1">
        <v>32318349</v>
      </c>
      <c r="K16" s="1">
        <v>45546684</v>
      </c>
    </row>
    <row r="17" spans="1:11" x14ac:dyDescent="0.4">
      <c r="A17" t="s">
        <v>15</v>
      </c>
      <c r="B17" s="1">
        <v>407918.73</v>
      </c>
      <c r="C17" s="1">
        <v>450442.37</v>
      </c>
      <c r="D17" s="1">
        <v>587074.56000000006</v>
      </c>
      <c r="E17" s="1">
        <v>768528.27</v>
      </c>
      <c r="F17" s="1">
        <v>1492839.94</v>
      </c>
      <c r="G17" s="1">
        <v>2318885.2000000002</v>
      </c>
      <c r="H17" s="1">
        <v>3797786.26</v>
      </c>
      <c r="I17" s="1">
        <v>6073260.4500000002</v>
      </c>
      <c r="J17" s="1">
        <v>10207498</v>
      </c>
      <c r="K17" s="1">
        <v>13626332</v>
      </c>
    </row>
    <row r="18" spans="1:11" x14ac:dyDescent="0.4">
      <c r="A18" t="s">
        <v>16</v>
      </c>
      <c r="B18" s="1">
        <v>5806801.4699999997</v>
      </c>
      <c r="C18" s="1">
        <v>7893406.5999999996</v>
      </c>
      <c r="D18" s="1">
        <v>9038371.0700000003</v>
      </c>
      <c r="E18" s="1">
        <v>10330773.09</v>
      </c>
      <c r="F18" s="1">
        <v>12040937.359999999</v>
      </c>
      <c r="G18" s="1">
        <v>14298358.359999999</v>
      </c>
      <c r="H18" s="1">
        <v>16658079.93</v>
      </c>
      <c r="I18" s="1">
        <v>20907762.989999998</v>
      </c>
      <c r="J18" s="1">
        <v>30099979</v>
      </c>
      <c r="K18" s="1">
        <v>47711723</v>
      </c>
    </row>
    <row r="19" spans="1:11" x14ac:dyDescent="0.4">
      <c r="A19" t="s">
        <v>17</v>
      </c>
      <c r="B19" s="1">
        <v>979341.68</v>
      </c>
      <c r="C19" s="1">
        <v>1050577.58</v>
      </c>
      <c r="D19" s="1">
        <v>1056286.73</v>
      </c>
      <c r="E19" s="1">
        <v>2031915.47</v>
      </c>
      <c r="F19" s="1">
        <v>2816125.59</v>
      </c>
      <c r="G19" s="1">
        <v>4906932.45</v>
      </c>
      <c r="H19" s="1">
        <v>7359497.0999999996</v>
      </c>
      <c r="I19" s="1">
        <v>12612639.66</v>
      </c>
      <c r="J19" s="1">
        <v>25428885</v>
      </c>
      <c r="K19" s="1">
        <v>39897680</v>
      </c>
    </row>
    <row r="20" spans="1:11" x14ac:dyDescent="0.4">
      <c r="A20" t="s">
        <v>18</v>
      </c>
      <c r="B20" s="1">
        <v>4132478.14</v>
      </c>
      <c r="C20" s="1">
        <v>6625774.6299999999</v>
      </c>
      <c r="D20" s="1">
        <v>7581650.21</v>
      </c>
      <c r="E20" s="1">
        <v>9370755.3300000001</v>
      </c>
      <c r="F20" s="1">
        <v>13654185.77</v>
      </c>
      <c r="G20" s="1">
        <v>22230843.620000001</v>
      </c>
      <c r="H20" s="1">
        <v>32672141.780000001</v>
      </c>
      <c r="I20" s="1">
        <v>40996121.450000003</v>
      </c>
      <c r="J20" s="1">
        <v>39674797</v>
      </c>
      <c r="K20" s="1">
        <v>38667832</v>
      </c>
    </row>
    <row r="21" spans="1:11" x14ac:dyDescent="0.4">
      <c r="A21" t="s">
        <v>19</v>
      </c>
      <c r="B21" s="1">
        <v>115833.13</v>
      </c>
      <c r="C21" s="1">
        <v>73131.69</v>
      </c>
      <c r="D21" s="1">
        <v>339922.26</v>
      </c>
      <c r="E21" s="1">
        <v>394227.7</v>
      </c>
      <c r="F21" s="1">
        <v>614077.25</v>
      </c>
      <c r="G21" s="1">
        <v>775571.65</v>
      </c>
      <c r="H21" s="1">
        <v>916690.86</v>
      </c>
      <c r="I21" s="1">
        <v>9405765.2799999993</v>
      </c>
      <c r="J21" s="1">
        <v>2269901</v>
      </c>
      <c r="K21" s="1">
        <v>889320</v>
      </c>
    </row>
    <row r="22" spans="1:11" x14ac:dyDescent="0.4">
      <c r="A22" t="s">
        <v>20</v>
      </c>
      <c r="B22" s="1">
        <v>6524.62</v>
      </c>
      <c r="C22" s="1">
        <v>21860.73</v>
      </c>
      <c r="D22" s="1">
        <v>34431.120000000003</v>
      </c>
      <c r="E22" s="1">
        <v>41078.61</v>
      </c>
      <c r="F22" s="1">
        <v>69407.399999999994</v>
      </c>
      <c r="G22" s="1">
        <v>91076.51</v>
      </c>
      <c r="H22" s="1">
        <v>201901.86</v>
      </c>
      <c r="I22" s="1">
        <v>284161.99</v>
      </c>
      <c r="J22" s="1">
        <v>315522</v>
      </c>
      <c r="K22" s="1">
        <v>525900</v>
      </c>
    </row>
    <row r="23" spans="1:11" x14ac:dyDescent="0.4">
      <c r="A23" t="s">
        <v>21</v>
      </c>
      <c r="B23" s="1">
        <v>1562006.81</v>
      </c>
      <c r="C23" s="1">
        <v>572366.31000000006</v>
      </c>
      <c r="D23" s="1">
        <v>1471870.16</v>
      </c>
      <c r="E23" s="1">
        <v>513580.89</v>
      </c>
      <c r="F23" s="1">
        <v>1883528.63</v>
      </c>
      <c r="G23" s="1">
        <v>566518.02</v>
      </c>
      <c r="H23" s="1">
        <v>1177864.6399999999</v>
      </c>
      <c r="I23" s="1">
        <v>1845180.11</v>
      </c>
      <c r="J23" s="1">
        <v>5594685</v>
      </c>
      <c r="K23" s="1">
        <v>7184904</v>
      </c>
    </row>
    <row r="24" spans="1:11" x14ac:dyDescent="0.4">
      <c r="A24" t="s">
        <v>22</v>
      </c>
      <c r="B24" s="1">
        <v>1990506.36</v>
      </c>
      <c r="C24" s="1">
        <v>2823201.62</v>
      </c>
      <c r="D24" s="1">
        <v>2993006.36</v>
      </c>
      <c r="E24" s="1">
        <v>4058306.99</v>
      </c>
      <c r="F24" s="1">
        <v>9967010.3399999999</v>
      </c>
      <c r="G24" s="1">
        <v>12119539.17</v>
      </c>
      <c r="H24" s="1">
        <v>12445928.029999999</v>
      </c>
      <c r="I24" s="1">
        <v>13886946.890000001</v>
      </c>
      <c r="J24" s="1">
        <v>16435301</v>
      </c>
      <c r="K24" s="1">
        <v>19421478</v>
      </c>
    </row>
    <row r="25" spans="1:11" x14ac:dyDescent="0.4">
      <c r="A25" t="s">
        <v>23</v>
      </c>
      <c r="B25" s="1">
        <v>200391.78</v>
      </c>
      <c r="C25" s="1">
        <v>259626.01</v>
      </c>
      <c r="D25" s="1">
        <v>204436.76</v>
      </c>
      <c r="E25" s="1">
        <v>807409.1</v>
      </c>
      <c r="F25" s="1">
        <v>1710975.23</v>
      </c>
      <c r="G25" s="1">
        <v>2271758.13</v>
      </c>
      <c r="H25" s="1">
        <v>2491149.79</v>
      </c>
      <c r="I25" s="1">
        <v>2892651.35</v>
      </c>
      <c r="J25" s="1">
        <v>3907245</v>
      </c>
      <c r="K25" s="1">
        <v>4820184</v>
      </c>
    </row>
    <row r="26" spans="1:11" x14ac:dyDescent="0.4">
      <c r="A26" t="s">
        <v>24</v>
      </c>
      <c r="B26" s="1">
        <v>479233.28000000003</v>
      </c>
      <c r="C26" s="1">
        <v>518364.34</v>
      </c>
      <c r="D26" s="1">
        <v>582559.01</v>
      </c>
      <c r="E26" s="1">
        <v>847624.92</v>
      </c>
      <c r="F26" s="1">
        <v>894879.43</v>
      </c>
      <c r="G26" s="1">
        <v>827040.4</v>
      </c>
      <c r="H26" s="1">
        <v>499497.6</v>
      </c>
      <c r="I26" s="1">
        <v>1060952.68</v>
      </c>
      <c r="J26" s="1">
        <v>2189452</v>
      </c>
      <c r="K26" s="1">
        <v>2688786</v>
      </c>
    </row>
    <row r="27" spans="1:11" x14ac:dyDescent="0.4">
      <c r="A27" t="s">
        <v>25</v>
      </c>
      <c r="B27" s="1">
        <v>6400197.9299999997</v>
      </c>
      <c r="C27" s="1">
        <v>7218211.0499999998</v>
      </c>
      <c r="D27" s="1">
        <v>8027887.0499999998</v>
      </c>
      <c r="E27" s="1">
        <v>9209395.2699999996</v>
      </c>
      <c r="F27" s="1">
        <v>11252908.4</v>
      </c>
      <c r="G27" s="1">
        <v>14673473.18</v>
      </c>
      <c r="H27" s="1">
        <v>17587198.23</v>
      </c>
      <c r="I27" s="1">
        <v>23434410.710000001</v>
      </c>
      <c r="J27" s="1">
        <v>30487345</v>
      </c>
      <c r="K27" s="1">
        <v>41184641</v>
      </c>
    </row>
    <row r="28" spans="1:11" x14ac:dyDescent="0.4">
      <c r="A28" t="s">
        <v>26</v>
      </c>
      <c r="B28" s="1">
        <v>1145162.25</v>
      </c>
      <c r="C28" s="1">
        <v>1296957.95</v>
      </c>
      <c r="D28" s="1">
        <v>1506615.36</v>
      </c>
      <c r="E28" s="1">
        <v>1629587.4</v>
      </c>
      <c r="F28" s="1">
        <v>1808778.36</v>
      </c>
      <c r="G28" s="1">
        <v>1964171.17</v>
      </c>
      <c r="H28" s="1">
        <v>2331559.35</v>
      </c>
      <c r="I28" s="1">
        <v>2803920.76</v>
      </c>
      <c r="J28" s="1">
        <v>3358410</v>
      </c>
      <c r="K28" s="1">
        <v>4648103</v>
      </c>
    </row>
    <row r="29" spans="1:11" x14ac:dyDescent="0.4">
      <c r="A29" t="s">
        <v>27</v>
      </c>
      <c r="B29" s="1">
        <v>291001.09000000003</v>
      </c>
      <c r="C29" s="1">
        <v>468848.7</v>
      </c>
      <c r="D29" s="1">
        <v>569189.63</v>
      </c>
      <c r="E29" s="1">
        <v>677186.32</v>
      </c>
      <c r="F29" s="1">
        <v>793553.3</v>
      </c>
      <c r="G29" s="1">
        <v>90968.62</v>
      </c>
      <c r="H29" s="1">
        <v>105626.49</v>
      </c>
      <c r="I29" s="1">
        <v>141042.4</v>
      </c>
      <c r="J29" s="1">
        <v>160342</v>
      </c>
      <c r="K29" s="1">
        <v>193042</v>
      </c>
    </row>
    <row r="30" spans="1:11" x14ac:dyDescent="0.4">
      <c r="A30" t="s">
        <v>28</v>
      </c>
      <c r="B30" s="1">
        <v>31822.79</v>
      </c>
      <c r="C30" s="1">
        <v>35201.81</v>
      </c>
      <c r="D30" s="1">
        <v>40525.730000000003</v>
      </c>
      <c r="E30" s="1">
        <v>66678.679999999993</v>
      </c>
      <c r="F30" s="1">
        <v>121057.89</v>
      </c>
      <c r="G30" s="1">
        <v>149033.1</v>
      </c>
      <c r="H30" s="1">
        <v>168054.19</v>
      </c>
      <c r="I30" s="1">
        <v>250946.99</v>
      </c>
      <c r="J30" s="1">
        <v>340474</v>
      </c>
      <c r="K30" s="1">
        <v>402960</v>
      </c>
    </row>
    <row r="31" spans="1:11" x14ac:dyDescent="0.4">
      <c r="A31" t="s">
        <v>29</v>
      </c>
      <c r="B31" s="1">
        <v>28223.43</v>
      </c>
      <c r="C31" s="1">
        <v>30321.57</v>
      </c>
      <c r="D31" s="1">
        <v>42754.61</v>
      </c>
      <c r="E31" s="1">
        <v>57553.53</v>
      </c>
      <c r="F31" s="1">
        <v>39214.67</v>
      </c>
      <c r="G31" s="1">
        <v>78213.55</v>
      </c>
      <c r="H31" s="1">
        <v>151122.96</v>
      </c>
      <c r="I31" s="1">
        <v>188537.38</v>
      </c>
      <c r="J31" s="1">
        <v>311791</v>
      </c>
      <c r="K31" s="1">
        <v>735844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31B5CA-EBB2-44ED-B2B8-6B3DAD4C3B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炜翔 林</cp:lastModifiedBy>
  <dcterms:created xsi:type="dcterms:W3CDTF">2026-04-15T14:28:16Z</dcterms:created>
  <dcterms:modified xsi:type="dcterms:W3CDTF">2026-04-18T12:04:02Z</dcterms:modified>
</cp:coreProperties>
</file>
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D5F5A37-00FC-4962-81CC-5553123F0C1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F3B8D6-34CD-4950-B862-82CD3AEE0B38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<sst xmlns="http://schemas.openxmlformats.org/spreadsheetml/2006/main" count="678" uniqueCount="337">
  <si>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</si>
  <si>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</si>
  <si>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</si>
  <si>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</si>
  <si>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</si>
  <si>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</si>
  <si>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</si>
  <si>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</si>
  <si>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</si>
  <si>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</si>
  <si>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</si>
  <si>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187.39</t>
  </si>
  <si>
    <t>179.80</t>
  </si>
  <si>
    <t>181.49</t>
  </si>
  <si>
    <t>178.43</t>
  </si>
  <si>
    <t>186.66</t>
  </si>
  <si>
    <t>186.11</t>
  </si>
  <si>
    <t>172.85</t>
  </si>
  <si>
    <t>178.06</t>
  </si>
  <si>
    <t>181.73</t>
  </si>
  <si>
    <t>189.46</t>
  </si>
  <si>
    <t>139.85</t>
  </si>
  <si>
    <t>132.80</t>
  </si>
  <si>
    <t>127.10</t>
  </si>
  <si>
    <t>123.40</t>
  </si>
  <si>
    <t>109.15</t>
  </si>
  <si>
    <t>105.70</t>
  </si>
  <si>
    <t>101.49</t>
  </si>
  <si>
    <t>96.01</t>
  </si>
  <si>
    <t>88.54</t>
  </si>
  <si>
    <t>89.12</t>
  </si>
  <si>
    <t>119.73</t>
  </si>
  <si>
    <t>117.70</t>
  </si>
  <si>
    <t>116.05</t>
  </si>
  <si>
    <t>111.73</t>
  </si>
  <si>
    <t>109.53</t>
  </si>
  <si>
    <t>108.46</t>
  </si>
  <si>
    <t>100.83</t>
  </si>
  <si>
    <t>95.33</t>
  </si>
  <si>
    <t>82.63</t>
  </si>
  <si>
    <t>84.36</t>
  </si>
  <si>
    <t>122.01</t>
  </si>
  <si>
    <t>118.95</t>
  </si>
  <si>
    <t>118.55</t>
  </si>
  <si>
    <t>115.22</t>
  </si>
  <si>
    <t>106.92</t>
  </si>
  <si>
    <t>106.55</t>
  </si>
  <si>
    <t>98.53</t>
  </si>
  <si>
    <t>91.42</t>
  </si>
  <si>
    <t>88.46</t>
  </si>
  <si>
    <t>91.35</t>
  </si>
  <si>
    <t>127.38</t>
  </si>
  <si>
    <t>125.49</t>
  </si>
  <si>
    <t>125.71</t>
  </si>
  <si>
    <t>123.17</t>
  </si>
  <si>
    <t>118.59</t>
  </si>
  <si>
    <t>120.14</t>
  </si>
  <si>
    <t>112.36</t>
  </si>
  <si>
    <t>98.04</t>
  </si>
  <si>
    <t>94.66</t>
  </si>
  <si>
    <t>105.18</t>
  </si>
  <si>
    <t>125.63</t>
  </si>
  <si>
    <t>121.54</t>
  </si>
  <si>
    <t>117.63</t>
  </si>
  <si>
    <t>114.43</t>
  </si>
  <si>
    <t>112.22</t>
  </si>
  <si>
    <t>111.96</t>
  </si>
  <si>
    <t>108.85</t>
  </si>
  <si>
    <t>101.13</t>
  </si>
  <si>
    <t>97.89</t>
  </si>
  <si>
    <t>103.29</t>
  </si>
  <si>
    <t>130.60</t>
  </si>
  <si>
    <t>128.12</t>
  </si>
  <si>
    <t>124.88</t>
  </si>
  <si>
    <t>119.22</t>
  </si>
  <si>
    <t>107.69</t>
  </si>
  <si>
    <t>110.98</t>
  </si>
  <si>
    <t>105.57</t>
  </si>
  <si>
    <t>97.14</t>
  </si>
  <si>
    <t>91.22</t>
  </si>
  <si>
    <t>94.91</t>
  </si>
  <si>
    <t>128.93</t>
  </si>
  <si>
    <t>123.54</t>
  </si>
  <si>
    <t>120.30</t>
  </si>
  <si>
    <t>120.70</t>
  </si>
  <si>
    <t>104.74</t>
  </si>
  <si>
    <t>101.60</t>
  </si>
  <si>
    <t>96.53</t>
  </si>
  <si>
    <t>90.69</t>
  </si>
  <si>
    <t>87.36</t>
  </si>
  <si>
    <t>90.21</t>
  </si>
  <si>
    <t>188.62</t>
  </si>
  <si>
    <t>179.04</t>
  </si>
  <si>
    <t>176.70</t>
  </si>
  <si>
    <t>171.99</t>
  </si>
  <si>
    <t>165.06</t>
  </si>
  <si>
    <t>153.57</t>
  </si>
  <si>
    <t>136.40</t>
  </si>
  <si>
    <t>130.44</t>
  </si>
  <si>
    <t>129.69</t>
  </si>
  <si>
    <t>135.74</t>
  </si>
  <si>
    <t>129.34</t>
  </si>
  <si>
    <t>124.10</t>
  </si>
  <si>
    <t>119.68</t>
  </si>
  <si>
    <t>116.78</t>
  </si>
  <si>
    <t>125.97</t>
  </si>
  <si>
    <t>121.65</t>
  </si>
  <si>
    <t>109.69</t>
  </si>
  <si>
    <t>102.50</t>
  </si>
  <si>
    <t>100.21</t>
  </si>
  <si>
    <t>101.39</t>
  </si>
  <si>
    <t>141.89</t>
  </si>
  <si>
    <t>137.20</t>
  </si>
  <si>
    <t>135.47</t>
  </si>
  <si>
    <t>132.96</t>
  </si>
  <si>
    <t>149.34</t>
  </si>
  <si>
    <t>144.83</t>
  </si>
  <si>
    <t>134.18</t>
  </si>
  <si>
    <t>129.27</t>
  </si>
  <si>
    <t>131.50</t>
  </si>
  <si>
    <t>133.82</t>
  </si>
  <si>
    <t>108.12</t>
  </si>
  <si>
    <t>104.12</t>
  </si>
  <si>
    <t>101.30</t>
  </si>
  <si>
    <t>98.74</t>
  </si>
  <si>
    <t>91.80</t>
  </si>
  <si>
    <t>87.54</t>
  </si>
  <si>
    <t>78.09</t>
  </si>
  <si>
    <t>70.10</t>
  </si>
  <si>
    <t>68.17</t>
  </si>
  <si>
    <t>69.31</t>
  </si>
  <si>
    <t>118.82</t>
  </si>
  <si>
    <t>116.87</t>
  </si>
  <si>
    <t>114.09</t>
  </si>
  <si>
    <t>118.81</t>
  </si>
  <si>
    <t>115.54</t>
  </si>
  <si>
    <t>109.82</t>
  </si>
  <si>
    <t>107.36</t>
  </si>
  <si>
    <t>108.20</t>
  </si>
  <si>
    <t>112.37</t>
  </si>
  <si>
    <t>107.44</t>
  </si>
  <si>
    <t>103.68</t>
  </si>
  <si>
    <t>99.54</t>
  </si>
  <si>
    <t>94.04</t>
  </si>
  <si>
    <t>89.09</t>
  </si>
  <si>
    <t>87.00</t>
  </si>
  <si>
    <t>74.62</t>
  </si>
  <si>
    <t>68.39</t>
  </si>
  <si>
    <t>66.37</t>
  </si>
  <si>
    <t>64.69</t>
  </si>
  <si>
    <t>119.92</t>
  </si>
  <si>
    <t>115.13</t>
  </si>
  <si>
    <t>110.60</t>
  </si>
  <si>
    <t>107.43</t>
  </si>
  <si>
    <t>107.10</t>
  </si>
  <si>
    <t>105.20</t>
  </si>
  <si>
    <t>99.38</t>
  </si>
  <si>
    <t>96.46</t>
  </si>
  <si>
    <t>92.30</t>
  </si>
  <si>
    <t>88.50</t>
  </si>
  <si>
    <t>111.38</t>
  </si>
  <si>
    <t>107.81</t>
  </si>
  <si>
    <t>104.75</t>
  </si>
  <si>
    <t>101.16</t>
  </si>
  <si>
    <t>102.09</t>
  </si>
  <si>
    <t>97.39</t>
  </si>
  <si>
    <t>89.48</t>
  </si>
  <si>
    <t>82.76</t>
  </si>
  <si>
    <t>79.51</t>
  </si>
  <si>
    <t>81.74</t>
  </si>
  <si>
    <t>108.26</t>
  </si>
  <si>
    <t>103.63</t>
  </si>
  <si>
    <t>100.70</t>
  </si>
  <si>
    <t>98.37</t>
  </si>
  <si>
    <t>95.97</t>
  </si>
  <si>
    <t>94.13</t>
  </si>
  <si>
    <t>84.62</t>
  </si>
  <si>
    <t>79.59</t>
  </si>
  <si>
    <t>77.42</t>
  </si>
  <si>
    <t>79.21</t>
  </si>
  <si>
    <t>117.72</t>
  </si>
  <si>
    <t>108.73</t>
  </si>
  <si>
    <t>104.84</t>
  </si>
  <si>
    <t>96.09</t>
  </si>
  <si>
    <t>91.36</t>
  </si>
  <si>
    <t>82.85</t>
  </si>
  <si>
    <t>73.20</t>
  </si>
  <si>
    <t>69.17</t>
  </si>
  <si>
    <t>70.15</t>
  </si>
  <si>
    <t>135.66</t>
  </si>
  <si>
    <t>131.56</t>
  </si>
  <si>
    <t>128.25</t>
  </si>
  <si>
    <t>123.30</t>
  </si>
  <si>
    <t>143.50</t>
  </si>
  <si>
    <t>148.27</t>
  </si>
  <si>
    <t>132.48</t>
  </si>
  <si>
    <t>130.46</t>
  </si>
  <si>
    <t>133.47</t>
  </si>
  <si>
    <t>139.35</t>
  </si>
  <si>
    <t>121.78</t>
  </si>
  <si>
    <t>115.02</t>
  </si>
  <si>
    <t>109.42</t>
  </si>
  <si>
    <t>106.39</t>
  </si>
  <si>
    <t>103.38</t>
  </si>
  <si>
    <t>102.42</t>
  </si>
  <si>
    <t>89.77</t>
  </si>
  <si>
    <t>78.01</t>
  </si>
  <si>
    <t>74.96</t>
  </si>
  <si>
    <t>74.75</t>
  </si>
  <si>
    <t>115.69</t>
  </si>
  <si>
    <t>114.19</t>
  </si>
  <si>
    <t>113.56</t>
  </si>
  <si>
    <t>112.61</t>
  </si>
  <si>
    <t>120.21</t>
  </si>
  <si>
    <t>116.16</t>
  </si>
  <si>
    <t>108.83</t>
  </si>
  <si>
    <t>102.75</t>
  </si>
  <si>
    <t>98.16</t>
  </si>
  <si>
    <t>100.44</t>
  </si>
  <si>
    <t>137.42</t>
  </si>
  <si>
    <t>116.77</t>
  </si>
  <si>
    <t>117.75</t>
  </si>
  <si>
    <t>106.49</t>
  </si>
  <si>
    <t>94.48</t>
  </si>
  <si>
    <t>90.76</t>
  </si>
  <si>
    <t>86.58</t>
  </si>
  <si>
    <t>115.94</t>
  </si>
  <si>
    <t>114.92</t>
  </si>
  <si>
    <t>111.55</t>
  </si>
  <si>
    <t>109.05</t>
  </si>
  <si>
    <t>112.76</t>
  </si>
  <si>
    <t>108.72</t>
  </si>
  <si>
    <t>92.67</t>
  </si>
  <si>
    <t>88.29</t>
  </si>
  <si>
    <t>82.87</t>
  </si>
  <si>
    <t>81.18</t>
  </si>
  <si>
    <t>117.84</t>
  </si>
  <si>
    <t>115.35</t>
  </si>
  <si>
    <t>110.85</t>
  </si>
  <si>
    <t>106.15</t>
  </si>
  <si>
    <t>111.78</t>
  </si>
  <si>
    <t>109.46</t>
  </si>
  <si>
    <t>97.36</t>
  </si>
  <si>
    <t>86.71</t>
  </si>
  <si>
    <t>83.34</t>
  </si>
  <si>
    <t>82.25</t>
  </si>
  <si>
    <t>111.56</t>
  </si>
  <si>
    <t>109.36</t>
  </si>
  <si>
    <t>107.58</t>
  </si>
  <si>
    <t>104.92</t>
  </si>
  <si>
    <t>100.10</t>
  </si>
  <si>
    <t>96.47</t>
  </si>
  <si>
    <t>88.08</t>
  </si>
  <si>
    <t>82.65</t>
  </si>
  <si>
    <t>78.87</t>
  </si>
  <si>
    <t>79.52</t>
  </si>
  <si>
    <t>125.36</t>
  </si>
  <si>
    <t>122.20</t>
  </si>
  <si>
    <t>120.83</t>
  </si>
  <si>
    <t>116.11</t>
  </si>
  <si>
    <t>119.72</t>
  </si>
  <si>
    <t>121.33</t>
  </si>
  <si>
    <t>110.04</t>
  </si>
  <si>
    <t>100.02</t>
  </si>
  <si>
    <t>95.55</t>
  </si>
  <si>
    <t>117.38</t>
  </si>
  <si>
    <t>110.23</t>
  </si>
  <si>
    <t>106.87</t>
  </si>
  <si>
    <t>103.92</t>
  </si>
  <si>
    <t>103.74</t>
  </si>
  <si>
    <t>96.22</t>
  </si>
  <si>
    <t>84.44</t>
  </si>
  <si>
    <t>80.99</t>
  </si>
  <si>
    <t>79.46</t>
  </si>
  <si>
    <t>124.43</t>
  </si>
  <si>
    <t>118.38</t>
  </si>
  <si>
    <t>114.56</t>
  </si>
  <si>
    <t>111.31</t>
  </si>
  <si>
    <t>110.73</t>
  </si>
  <si>
    <t>113.79</t>
  </si>
  <si>
    <t>90.95</t>
  </si>
  <si>
    <t>87.88</t>
  </si>
  <si>
    <t>93.24</t>
  </si>
  <si>
    <t>125.93</t>
  </si>
  <si>
    <t>122.38</t>
  </si>
  <si>
    <t>119.46</t>
  </si>
  <si>
    <t>116.51</t>
  </si>
  <si>
    <t>119.24</t>
  </si>
  <si>
    <t>128.04</t>
  </si>
  <si>
    <t>95.32</t>
  </si>
  <si>
    <t>104.04</t>
  </si>
  <si>
    <t>115.91</t>
  </si>
  <si>
    <t>111.04</t>
  </si>
  <si>
    <t>114.54</t>
  </si>
  <si>
    <t>110.11</t>
  </si>
  <si>
    <t>108.79</t>
  </si>
  <si>
    <t>92.13</t>
  </si>
  <si>
    <t>88.91</t>
  </si>
  <si>
    <t>85.96</t>
  </si>
  <si>
    <t>90.38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</si>
  <si>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</si>
  <si>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</si>
  <si>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</si>
  <si>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</si>
  <si>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</si>
  <si>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</si>
  <si>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</si>
  <si>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</si>
  <si>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</si>
  <si>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</si>
  <si>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</si>
  <si>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</si>
  <si>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</si>
  <si>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</si>
  <si>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</si>
  <si>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</si>
  <si>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</si>
  <si>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</si>
  <si>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</si>
  <si>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</si>
  <si>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</si>
  <si>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</si>
  <si>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</si>
  <si>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</si>
  <si>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</si>
  <si>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</si>
  <si>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</si>
  <si>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</si>
  <si>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</si>
  <si>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</si>
  <si>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  <phoneticPr fontId="2" type="noConversion"/>
  </si>
  <si>
    <t>年份</t>
    <phoneticPr fontId="2" type="noConversion"/>
  </si>
  <si>
    <t>移动电话普及率</t>
    <phoneticPr fontId="2" type="noConversion"/>
  </si>
  <si>
    <t>行政区域</t>
    <phoneticPr fontId="2" type="noConversion"/>
  </si>
  <si>
    <t>id</t>
    <phoneticPr fontId="2" type="noConversion"/>
  </si>
  <si>
    <t>省份</t>
  </si>
  <si>
    <t>行政区划代码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</si>
</sst>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6987DA-C778-4E01-AA35-965F129E0ABA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3BECB-4DB9-4B2C-A308-935DDF6572A4}" name="表1_" displayName="表1_" ref="A1:E301" tableType="queryTable" totalsRowShown="0">
  <autoFilter ref="A1:E301" xr:uid="{22D3BECB-4DB9-4B2C-A308-935DDF6572A4}"/>
  <tableColumns count="5">
    <tableColumn id="1" xr3:uid="{6EF30967-9136-4BD4-A8F6-BC532C3F7672}" uniqueName="1" name="地区" queryTableFieldId="1"/>
    <tableColumn id="2" xr3:uid="{0DCC3D66-284E-4FC2-8801-4F2EC302BA2D}" uniqueName="2" name="年份" queryTableFieldId="2"/>
    <tableColumn id="3" xr3:uid="{9BA299DB-F9C6-4E51-99C6-E7A7E424BBA3}" uniqueName="3" name="移动电话普及率" queryTableFieldId="3"/>
    <tableColumn id="4" xr3:uid="{44FD222E-7723-4B58-A323-DD9ECDFD1EBB}" uniqueName="4" name="行政区域" queryTableFieldId="4" dataDxfId="1">
      <calculatedColumnFormula>VLOOKUP(表1_[[#This Row],[地区]],Sheet2!A:B,2,0)</calculatedColumnFormula>
    </tableColumn>
    <tableColumn id="5" xr3:uid="{EB5B66D8-E7EC-40D9-B53E-EE0550736239}" uniqueName="5" name="id" queryTableFieldId="5" dataDxfId="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CE6F8-8DEB-4509-B1FC-9780196A279F}" name="表1" displayName="表1" ref="A1:K31" totalsRowShown="0" headerRowDxfId="2" dataDxfId="3">
  <autoFilter ref="A1:K31" xr:uid="{F9ECE6F8-8DEB-4509-B1FC-9780196A279F}"/>
  <tableColumns count="11">
    <tableColumn id="1" xr3:uid="{99DE2CE7-C4E2-444E-8462-9AAC2F7758A8}" name="地区" dataDxfId="14"/>
    <tableColumn id="2" xr3:uid="{AF75747F-A91E-4B45-8D11-832945DA35C8}" name="2023年" dataDxfId="13"/>
    <tableColumn id="3" xr3:uid="{83639C1C-38BF-482F-89D1-6BD5A2B5AFC2}" name="2022年" dataDxfId="12"/>
    <tableColumn id="4" xr3:uid="{16B147D2-52D4-47B7-8991-419D89584181}" name="2021年" dataDxfId="11"/>
    <tableColumn id="5" xr3:uid="{1F61C7F5-16B3-4C61-AE37-07B17F127A93}" name="2020年" dataDxfId="10"/>
    <tableColumn id="6" xr3:uid="{627E21C3-F048-4BC2-A64D-552025916191}" name="2019年" dataDxfId="9"/>
    <tableColumn id="7" xr3:uid="{4D311CAF-77EC-4277-8257-31E967B4EE26}" name="2018年" dataDxfId="8"/>
    <tableColumn id="8" xr3:uid="{E937AC3D-04F9-41C2-B9F6-07EA4CA8EDBD}" name="2017年" dataDxfId="7"/>
    <tableColumn id="9" xr3:uid="{E7A74B53-C2D6-453D-BB7A-6E21C00CF20F}" name="2016年" dataDxfId="6"/>
    <tableColumn id="10" xr3:uid="{9231F388-ADC9-4F09-92C0-D136A4768422}" name="2015年" dataDxfId="5"/>
    <tableColumn id="11" xr3:uid="{2FAED473-38BF-438B-837E-0D4F45845E33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AFA4-40C9-49EE-8557-9EDCFC516A54}">
  <dimension ref="A1:E301"/>
  <sheetViews>
    <sheetView tabSelected="1" workbookViewId="0">
      <selection activeCell="E3" sqref="E3"/>
    </sheetView>
  </sheetViews>
  <sheetFormatPr defaultRowHeight="13.5" x14ac:dyDescent="0.3"/>
  <cols>
    <col min="1" max="2" width="7.265625" bestFit="1" customWidth="1"/>
    <col min="3" max="3" width="7.06640625" bestFit="1" customWidth="1"/>
  </cols>
  <sheetData>
    <row r="1" spans="1:5" x14ac:dyDescent="0.3">
      <c r="A1" t="s">
        <v>0</v>
      </c>
      <c r="B1" t="s">
        <v>331</v>
      </c>
      <c r="C1" t="s">
        <v>332</v>
      </c>
      <c r="D1" t="s">
        <v>333</v>
      </c>
      <c r="E1" t="s">
        <v>334</v>
      </c>
    </row>
    <row r="2" spans="1:5" x14ac:dyDescent="0.3">
      <c r="A2" t="s">
        <v>300</v>
      </c>
      <c r="B2">
        <v>2023</v>
      </c>
      <c r="C2">
        <v>187.39</v>
      </c>
      <c r="D2">
        <f>VLOOKUP(表1_[[#This Row],[地区]],Sheet2!A:B,2,0)</f>
        <v>110000</v>
      </c>
      <c r="E2">
        <f>表1_[[#This Row],[年份]]+表1_[[#This Row],[行政区域]]</f>
        <v>112023</v>
      </c>
    </row>
    <row r="3" spans="1:5" x14ac:dyDescent="0.3">
      <c r="A3" t="s">
        <v>300</v>
      </c>
      <c r="B3">
        <v>2022</v>
      </c>
      <c r="C3">
        <v>179.8</v>
      </c>
      <c r="D3">
        <f>VLOOKUP(表1_[[#This Row],[地区]],Sheet2!A:B,2,0)</f>
        <v>110000</v>
      </c>
      <c r="E3">
        <f>表1_[[#This Row],[年份]]+表1_[[#This Row],[行政区域]]</f>
        <v>112022</v>
      </c>
    </row>
    <row r="4" spans="1:5" x14ac:dyDescent="0.3">
      <c r="A4" t="s">
        <v>300</v>
      </c>
      <c r="B4">
        <v>2021</v>
      </c>
      <c r="C4">
        <v>181.49</v>
      </c>
      <c r="D4">
        <f>VLOOKUP(表1_[[#This Row],[地区]],Sheet2!A:B,2,0)</f>
        <v>110000</v>
      </c>
      <c r="E4">
        <f>表1_[[#This Row],[年份]]+表1_[[#This Row],[行政区域]]</f>
        <v>112021</v>
      </c>
    </row>
    <row r="5" spans="1:5" x14ac:dyDescent="0.3">
      <c r="A5" t="s">
        <v>300</v>
      </c>
      <c r="B5">
        <v>2020</v>
      </c>
      <c r="C5">
        <v>178.43</v>
      </c>
      <c r="D5">
        <f>VLOOKUP(表1_[[#This Row],[地区]],Sheet2!A:B,2,0)</f>
        <v>110000</v>
      </c>
      <c r="E5">
        <f>表1_[[#This Row],[年份]]+表1_[[#This Row],[行政区域]]</f>
        <v>112020</v>
      </c>
    </row>
    <row r="6" spans="1:5" x14ac:dyDescent="0.3">
      <c r="A6" t="s">
        <v>300</v>
      </c>
      <c r="B6">
        <v>2019</v>
      </c>
      <c r="C6">
        <v>186.66</v>
      </c>
      <c r="D6">
        <f>VLOOKUP(表1_[[#This Row],[地区]],Sheet2!A:B,2,0)</f>
        <v>110000</v>
      </c>
      <c r="E6">
        <f>表1_[[#This Row],[年份]]+表1_[[#This Row],[行政区域]]</f>
        <v>112019</v>
      </c>
    </row>
    <row r="7" spans="1:5" x14ac:dyDescent="0.3">
      <c r="A7" t="s">
        <v>300</v>
      </c>
      <c r="B7">
        <v>2018</v>
      </c>
      <c r="C7">
        <v>186.11</v>
      </c>
      <c r="D7">
        <f>VLOOKUP(表1_[[#This Row],[地区]],Sheet2!A:B,2,0)</f>
        <v>110000</v>
      </c>
      <c r="E7">
        <f>表1_[[#This Row],[年份]]+表1_[[#This Row],[行政区域]]</f>
        <v>112018</v>
      </c>
    </row>
    <row r="8" spans="1:5" x14ac:dyDescent="0.3">
      <c r="A8" t="s">
        <v>300</v>
      </c>
      <c r="B8">
        <v>2017</v>
      </c>
      <c r="C8">
        <v>172.85</v>
      </c>
      <c r="D8">
        <f>VLOOKUP(表1_[[#This Row],[地区]],Sheet2!A:B,2,0)</f>
        <v>110000</v>
      </c>
      <c r="E8">
        <f>表1_[[#This Row],[年份]]+表1_[[#This Row],[行政区域]]</f>
        <v>112017</v>
      </c>
    </row>
    <row r="9" spans="1:5" x14ac:dyDescent="0.3">
      <c r="A9" t="s">
        <v>300</v>
      </c>
      <c r="B9">
        <v>2016</v>
      </c>
      <c r="C9">
        <v>178.06</v>
      </c>
      <c r="D9">
        <f>VLOOKUP(表1_[[#This Row],[地区]],Sheet2!A:B,2,0)</f>
        <v>110000</v>
      </c>
      <c r="E9">
        <f>表1_[[#This Row],[年份]]+表1_[[#This Row],[行政区域]]</f>
        <v>112016</v>
      </c>
    </row>
    <row r="10" spans="1:5" x14ac:dyDescent="0.3">
      <c r="A10" t="s">
        <v>300</v>
      </c>
      <c r="B10">
        <v>2015</v>
      </c>
      <c r="C10">
        <v>181.73</v>
      </c>
      <c r="D10">
        <f>VLOOKUP(表1_[[#This Row],[地区]],Sheet2!A:B,2,0)</f>
        <v>110000</v>
      </c>
      <c r="E10">
        <f>表1_[[#This Row],[年份]]+表1_[[#This Row],[行政区域]]</f>
        <v>112015</v>
      </c>
    </row>
    <row r="11" spans="1:5" x14ac:dyDescent="0.3">
      <c r="A11" t="s">
        <v>300</v>
      </c>
      <c r="B11">
        <v>2014</v>
      </c>
      <c r="C11">
        <v>189.46</v>
      </c>
      <c r="D11">
        <f>VLOOKUP(表1_[[#This Row],[地区]],Sheet2!A:B,2,0)</f>
        <v>110000</v>
      </c>
      <c r="E11">
        <f>表1_[[#This Row],[年份]]+表1_[[#This Row],[行政区域]]</f>
        <v>112014</v>
      </c>
    </row>
    <row r="12" spans="1:5" x14ac:dyDescent="0.3">
      <c r="A12" t="s">
        <v>301</v>
      </c>
      <c r="B12">
        <v>2023</v>
      </c>
      <c r="C12">
        <v>139.85</v>
      </c>
      <c r="D12">
        <f>VLOOKUP(表1_[[#This Row],[地区]],Sheet2!A:B,2,0)</f>
        <v>120000</v>
      </c>
      <c r="E12">
        <f>表1_[[#This Row],[年份]]+表1_[[#This Row],[行政区域]]</f>
        <v>122023</v>
      </c>
    </row>
    <row r="13" spans="1:5" x14ac:dyDescent="0.3">
      <c r="A13" t="s">
        <v>301</v>
      </c>
      <c r="B13">
        <v>2022</v>
      </c>
      <c r="C13">
        <v>132.80000000000001</v>
      </c>
      <c r="D13">
        <f>VLOOKUP(表1_[[#This Row],[地区]],Sheet2!A:B,2,0)</f>
        <v>120000</v>
      </c>
      <c r="E13">
        <f>表1_[[#This Row],[年份]]+表1_[[#This Row],[行政区域]]</f>
        <v>122022</v>
      </c>
    </row>
    <row r="14" spans="1:5" x14ac:dyDescent="0.3">
      <c r="A14" t="s">
        <v>301</v>
      </c>
      <c r="B14">
        <v>2021</v>
      </c>
      <c r="C14">
        <v>127.1</v>
      </c>
      <c r="D14">
        <f>VLOOKUP(表1_[[#This Row],[地区]],Sheet2!A:B,2,0)</f>
        <v>120000</v>
      </c>
      <c r="E14">
        <f>表1_[[#This Row],[年份]]+表1_[[#This Row],[行政区域]]</f>
        <v>122021</v>
      </c>
    </row>
    <row r="15" spans="1:5" x14ac:dyDescent="0.3">
      <c r="A15" t="s">
        <v>301</v>
      </c>
      <c r="B15">
        <v>2020</v>
      </c>
      <c r="C15">
        <v>123.4</v>
      </c>
      <c r="D15">
        <f>VLOOKUP(表1_[[#This Row],[地区]],Sheet2!A:B,2,0)</f>
        <v>120000</v>
      </c>
      <c r="E15">
        <f>表1_[[#This Row],[年份]]+表1_[[#This Row],[行政区域]]</f>
        <v>122020</v>
      </c>
    </row>
    <row r="16" spans="1:5" x14ac:dyDescent="0.3">
      <c r="A16" t="s">
        <v>301</v>
      </c>
      <c r="B16">
        <v>2019</v>
      </c>
      <c r="C16">
        <v>109.15</v>
      </c>
      <c r="D16">
        <f>VLOOKUP(表1_[[#This Row],[地区]],Sheet2!A:B,2,0)</f>
        <v>120000</v>
      </c>
      <c r="E16">
        <f>表1_[[#This Row],[年份]]+表1_[[#This Row],[行政区域]]</f>
        <v>122019</v>
      </c>
    </row>
    <row r="17" spans="1:5" x14ac:dyDescent="0.3">
      <c r="A17" t="s">
        <v>301</v>
      </c>
      <c r="B17">
        <v>2018</v>
      </c>
      <c r="C17">
        <v>105.7</v>
      </c>
      <c r="D17">
        <f>VLOOKUP(表1_[[#This Row],[地区]],Sheet2!A:B,2,0)</f>
        <v>120000</v>
      </c>
      <c r="E17">
        <f>表1_[[#This Row],[年份]]+表1_[[#This Row],[行政区域]]</f>
        <v>122018</v>
      </c>
    </row>
    <row r="18" spans="1:5" x14ac:dyDescent="0.3">
      <c r="A18" t="s">
        <v>301</v>
      </c>
      <c r="B18">
        <v>2017</v>
      </c>
      <c r="C18">
        <v>101.49</v>
      </c>
      <c r="D18">
        <f>VLOOKUP(表1_[[#This Row],[地区]],Sheet2!A:B,2,0)</f>
        <v>120000</v>
      </c>
      <c r="E18">
        <f>表1_[[#This Row],[年份]]+表1_[[#This Row],[行政区域]]</f>
        <v>122017</v>
      </c>
    </row>
    <row r="19" spans="1:5" x14ac:dyDescent="0.3">
      <c r="A19" t="s">
        <v>301</v>
      </c>
      <c r="B19">
        <v>2016</v>
      </c>
      <c r="C19">
        <v>96.01</v>
      </c>
      <c r="D19">
        <f>VLOOKUP(表1_[[#This Row],[地区]],Sheet2!A:B,2,0)</f>
        <v>120000</v>
      </c>
      <c r="E19">
        <f>表1_[[#This Row],[年份]]+表1_[[#This Row],[行政区域]]</f>
        <v>122016</v>
      </c>
    </row>
    <row r="20" spans="1:5" x14ac:dyDescent="0.3">
      <c r="A20" t="s">
        <v>301</v>
      </c>
      <c r="B20">
        <v>2015</v>
      </c>
      <c r="C20">
        <v>88.54</v>
      </c>
      <c r="D20">
        <f>VLOOKUP(表1_[[#This Row],[地区]],Sheet2!A:B,2,0)</f>
        <v>120000</v>
      </c>
      <c r="E20">
        <f>表1_[[#This Row],[年份]]+表1_[[#This Row],[行政区域]]</f>
        <v>122015</v>
      </c>
    </row>
    <row r="21" spans="1:5" x14ac:dyDescent="0.3">
      <c r="A21" t="s">
        <v>301</v>
      </c>
      <c r="B21">
        <v>2014</v>
      </c>
      <c r="C21">
        <v>89.12</v>
      </c>
      <c r="D21">
        <f>VLOOKUP(表1_[[#This Row],[地区]],Sheet2!A:B,2,0)</f>
        <v>120000</v>
      </c>
      <c r="E21">
        <f>表1_[[#This Row],[年份]]+表1_[[#This Row],[行政区域]]</f>
        <v>122014</v>
      </c>
    </row>
    <row r="22" spans="1:5" x14ac:dyDescent="0.3">
      <c r="A22" t="s">
        <v>302</v>
      </c>
      <c r="B22">
        <v>2023</v>
      </c>
      <c r="C22">
        <v>119.73</v>
      </c>
      <c r="D22">
        <f>VLOOKUP(表1_[[#This Row],[地区]],Sheet2!A:B,2,0)</f>
        <v>130000</v>
      </c>
      <c r="E22">
        <f>表1_[[#This Row],[年份]]+表1_[[#This Row],[行政区域]]</f>
        <v>132023</v>
      </c>
    </row>
    <row r="23" spans="1:5" x14ac:dyDescent="0.3">
      <c r="A23" t="s">
        <v>302</v>
      </c>
      <c r="B23">
        <v>2022</v>
      </c>
      <c r="C23">
        <v>117.7</v>
      </c>
      <c r="D23">
        <f>VLOOKUP(表1_[[#This Row],[地区]],Sheet2!A:B,2,0)</f>
        <v>130000</v>
      </c>
      <c r="E23">
        <f>表1_[[#This Row],[年份]]+表1_[[#This Row],[行政区域]]</f>
        <v>132022</v>
      </c>
    </row>
    <row r="24" spans="1:5" x14ac:dyDescent="0.3">
      <c r="A24" t="s">
        <v>302</v>
      </c>
      <c r="B24">
        <v>2021</v>
      </c>
      <c r="C24">
        <v>116.05</v>
      </c>
      <c r="D24">
        <f>VLOOKUP(表1_[[#This Row],[地区]],Sheet2!A:B,2,0)</f>
        <v>130000</v>
      </c>
      <c r="E24">
        <f>表1_[[#This Row],[年份]]+表1_[[#This Row],[行政区域]]</f>
        <v>132021</v>
      </c>
    </row>
    <row r="25" spans="1:5" x14ac:dyDescent="0.3">
      <c r="A25" t="s">
        <v>302</v>
      </c>
      <c r="B25">
        <v>2020</v>
      </c>
      <c r="C25">
        <v>111.73</v>
      </c>
      <c r="D25">
        <f>VLOOKUP(表1_[[#This Row],[地区]],Sheet2!A:B,2,0)</f>
        <v>130000</v>
      </c>
      <c r="E25">
        <f>表1_[[#This Row],[年份]]+表1_[[#This Row],[行政区域]]</f>
        <v>132020</v>
      </c>
    </row>
    <row r="26" spans="1:5" x14ac:dyDescent="0.3">
      <c r="A26" t="s">
        <v>302</v>
      </c>
      <c r="B26">
        <v>2019</v>
      </c>
      <c r="C26">
        <v>109.53</v>
      </c>
      <c r="D26">
        <f>VLOOKUP(表1_[[#This Row],[地区]],Sheet2!A:B,2,0)</f>
        <v>130000</v>
      </c>
      <c r="E26">
        <f>表1_[[#This Row],[年份]]+表1_[[#This Row],[行政区域]]</f>
        <v>132019</v>
      </c>
    </row>
    <row r="27" spans="1:5" x14ac:dyDescent="0.3">
      <c r="A27" t="s">
        <v>302</v>
      </c>
      <c r="B27">
        <v>2018</v>
      </c>
      <c r="C27">
        <v>108.46</v>
      </c>
      <c r="D27">
        <f>VLOOKUP(表1_[[#This Row],[地区]],Sheet2!A:B,2,0)</f>
        <v>130000</v>
      </c>
      <c r="E27">
        <f>表1_[[#This Row],[年份]]+表1_[[#This Row],[行政区域]]</f>
        <v>132018</v>
      </c>
    </row>
    <row r="28" spans="1:5" x14ac:dyDescent="0.3">
      <c r="A28" t="s">
        <v>302</v>
      </c>
      <c r="B28">
        <v>2017</v>
      </c>
      <c r="C28">
        <v>100.83</v>
      </c>
      <c r="D28">
        <f>VLOOKUP(表1_[[#This Row],[地区]],Sheet2!A:B,2,0)</f>
        <v>130000</v>
      </c>
      <c r="E28">
        <f>表1_[[#This Row],[年份]]+表1_[[#This Row],[行政区域]]</f>
        <v>132017</v>
      </c>
    </row>
    <row r="29" spans="1:5" x14ac:dyDescent="0.3">
      <c r="A29" t="s">
        <v>302</v>
      </c>
      <c r="B29">
        <v>2016</v>
      </c>
      <c r="C29">
        <v>95.33</v>
      </c>
      <c r="D29">
        <f>VLOOKUP(表1_[[#This Row],[地区]],Sheet2!A:B,2,0)</f>
        <v>130000</v>
      </c>
      <c r="E29">
        <f>表1_[[#This Row],[年份]]+表1_[[#This Row],[行政区域]]</f>
        <v>132016</v>
      </c>
    </row>
    <row r="30" spans="1:5" x14ac:dyDescent="0.3">
      <c r="A30" t="s">
        <v>302</v>
      </c>
      <c r="B30">
        <v>2015</v>
      </c>
      <c r="C30">
        <v>82.63</v>
      </c>
      <c r="D30">
        <f>VLOOKUP(表1_[[#This Row],[地区]],Sheet2!A:B,2,0)</f>
        <v>130000</v>
      </c>
      <c r="E30">
        <f>表1_[[#This Row],[年份]]+表1_[[#This Row],[行政区域]]</f>
        <v>132015</v>
      </c>
    </row>
    <row r="31" spans="1:5" x14ac:dyDescent="0.3">
      <c r="A31" t="s">
        <v>302</v>
      </c>
      <c r="B31">
        <v>2014</v>
      </c>
      <c r="C31">
        <v>84.36</v>
      </c>
      <c r="D31">
        <f>VLOOKUP(表1_[[#This Row],[地区]],Sheet2!A:B,2,0)</f>
        <v>130000</v>
      </c>
      <c r="E31">
        <f>表1_[[#This Row],[年份]]+表1_[[#This Row],[行政区域]]</f>
        <v>132014</v>
      </c>
    </row>
    <row r="32" spans="1:5" x14ac:dyDescent="0.3">
      <c r="A32" t="s">
        <v>303</v>
      </c>
      <c r="B32">
        <v>2023</v>
      </c>
      <c r="C32">
        <v>122.01</v>
      </c>
      <c r="D32">
        <f>VLOOKUP(表1_[[#This Row],[地区]],Sheet2!A:B,2,0)</f>
        <v>140000</v>
      </c>
      <c r="E32">
        <f>表1_[[#This Row],[年份]]+表1_[[#This Row],[行政区域]]</f>
        <v>142023</v>
      </c>
    </row>
    <row r="33" spans="1:5" x14ac:dyDescent="0.3">
      <c r="A33" t="s">
        <v>303</v>
      </c>
      <c r="B33">
        <v>2022</v>
      </c>
      <c r="C33">
        <v>118.95</v>
      </c>
      <c r="D33">
        <f>VLOOKUP(表1_[[#This Row],[地区]],Sheet2!A:B,2,0)</f>
        <v>140000</v>
      </c>
      <c r="E33">
        <f>表1_[[#This Row],[年份]]+表1_[[#This Row],[行政区域]]</f>
        <v>142022</v>
      </c>
    </row>
    <row r="34" spans="1:5" x14ac:dyDescent="0.3">
      <c r="A34" t="s">
        <v>303</v>
      </c>
      <c r="B34">
        <v>2021</v>
      </c>
      <c r="C34">
        <v>118.55</v>
      </c>
      <c r="D34">
        <f>VLOOKUP(表1_[[#This Row],[地区]],Sheet2!A:B,2,0)</f>
        <v>140000</v>
      </c>
      <c r="E34">
        <f>表1_[[#This Row],[年份]]+表1_[[#This Row],[行政区域]]</f>
        <v>142021</v>
      </c>
    </row>
    <row r="35" spans="1:5" x14ac:dyDescent="0.3">
      <c r="A35" t="s">
        <v>303</v>
      </c>
      <c r="B35">
        <v>2020</v>
      </c>
      <c r="C35">
        <v>115.22</v>
      </c>
      <c r="D35">
        <f>VLOOKUP(表1_[[#This Row],[地区]],Sheet2!A:B,2,0)</f>
        <v>140000</v>
      </c>
      <c r="E35">
        <f>表1_[[#This Row],[年份]]+表1_[[#This Row],[行政区域]]</f>
        <v>142020</v>
      </c>
    </row>
    <row r="36" spans="1:5" x14ac:dyDescent="0.3">
      <c r="A36" t="s">
        <v>303</v>
      </c>
      <c r="B36">
        <v>2019</v>
      </c>
      <c r="C36">
        <v>106.92</v>
      </c>
      <c r="D36">
        <f>VLOOKUP(表1_[[#This Row],[地区]],Sheet2!A:B,2,0)</f>
        <v>140000</v>
      </c>
      <c r="E36">
        <f>表1_[[#This Row],[年份]]+表1_[[#This Row],[行政区域]]</f>
        <v>142019</v>
      </c>
    </row>
    <row r="37" spans="1:5" x14ac:dyDescent="0.3">
      <c r="A37" t="s">
        <v>303</v>
      </c>
      <c r="B37">
        <v>2018</v>
      </c>
      <c r="C37">
        <v>106.55</v>
      </c>
      <c r="D37">
        <f>VLOOKUP(表1_[[#This Row],[地区]],Sheet2!A:B,2,0)</f>
        <v>140000</v>
      </c>
      <c r="E37">
        <f>表1_[[#This Row],[年份]]+表1_[[#This Row],[行政区域]]</f>
        <v>142018</v>
      </c>
    </row>
    <row r="38" spans="1:5" x14ac:dyDescent="0.3">
      <c r="A38" t="s">
        <v>303</v>
      </c>
      <c r="B38">
        <v>2017</v>
      </c>
      <c r="C38">
        <v>98.53</v>
      </c>
      <c r="D38">
        <f>VLOOKUP(表1_[[#This Row],[地区]],Sheet2!A:B,2,0)</f>
        <v>140000</v>
      </c>
      <c r="E38">
        <f>表1_[[#This Row],[年份]]+表1_[[#This Row],[行政区域]]</f>
        <v>142017</v>
      </c>
    </row>
    <row r="39" spans="1:5" x14ac:dyDescent="0.3">
      <c r="A39" t="s">
        <v>303</v>
      </c>
      <c r="B39">
        <v>2016</v>
      </c>
      <c r="C39">
        <v>91.42</v>
      </c>
      <c r="D39">
        <f>VLOOKUP(表1_[[#This Row],[地区]],Sheet2!A:B,2,0)</f>
        <v>140000</v>
      </c>
      <c r="E39">
        <f>表1_[[#This Row],[年份]]+表1_[[#This Row],[行政区域]]</f>
        <v>142016</v>
      </c>
    </row>
    <row r="40" spans="1:5" x14ac:dyDescent="0.3">
      <c r="A40" t="s">
        <v>303</v>
      </c>
      <c r="B40">
        <v>2015</v>
      </c>
      <c r="C40">
        <v>88.46</v>
      </c>
      <c r="D40">
        <f>VLOOKUP(表1_[[#This Row],[地区]],Sheet2!A:B,2,0)</f>
        <v>140000</v>
      </c>
      <c r="E40">
        <f>表1_[[#This Row],[年份]]+表1_[[#This Row],[行政区域]]</f>
        <v>142015</v>
      </c>
    </row>
    <row r="41" spans="1:5" x14ac:dyDescent="0.3">
      <c r="A41" t="s">
        <v>303</v>
      </c>
      <c r="B41">
        <v>2014</v>
      </c>
      <c r="C41">
        <v>91.35</v>
      </c>
      <c r="D41">
        <f>VLOOKUP(表1_[[#This Row],[地区]],Sheet2!A:B,2,0)</f>
        <v>140000</v>
      </c>
      <c r="E41">
        <f>表1_[[#This Row],[年份]]+表1_[[#This Row],[行政区域]]</f>
        <v>142014</v>
      </c>
    </row>
    <row r="42" spans="1:5" x14ac:dyDescent="0.3">
      <c r="A42" t="s">
        <v>304</v>
      </c>
      <c r="B42">
        <v>2023</v>
      </c>
      <c r="C42">
        <v>127.38</v>
      </c>
      <c r="D42">
        <f>VLOOKUP(表1_[[#This Row],[地区]],Sheet2!A:B,2,0)</f>
        <v>150000</v>
      </c>
      <c r="E42">
        <f>表1_[[#This Row],[年份]]+表1_[[#This Row],[行政区域]]</f>
        <v>152023</v>
      </c>
    </row>
    <row r="43" spans="1:5" x14ac:dyDescent="0.3">
      <c r="A43" t="s">
        <v>304</v>
      </c>
      <c r="B43">
        <v>2022</v>
      </c>
      <c r="C43">
        <v>125.49</v>
      </c>
      <c r="D43">
        <f>VLOOKUP(表1_[[#This Row],[地区]],Sheet2!A:B,2,0)</f>
        <v>150000</v>
      </c>
      <c r="E43">
        <f>表1_[[#This Row],[年份]]+表1_[[#This Row],[行政区域]]</f>
        <v>152022</v>
      </c>
    </row>
    <row r="44" spans="1:5" x14ac:dyDescent="0.3">
      <c r="A44" t="s">
        <v>304</v>
      </c>
      <c r="B44">
        <v>2021</v>
      </c>
      <c r="C44">
        <v>125.71</v>
      </c>
      <c r="D44">
        <f>VLOOKUP(表1_[[#This Row],[地区]],Sheet2!A:B,2,0)</f>
        <v>150000</v>
      </c>
      <c r="E44">
        <f>表1_[[#This Row],[年份]]+表1_[[#This Row],[行政区域]]</f>
        <v>152021</v>
      </c>
    </row>
    <row r="45" spans="1:5" x14ac:dyDescent="0.3">
      <c r="A45" t="s">
        <v>304</v>
      </c>
      <c r="B45">
        <v>2020</v>
      </c>
      <c r="C45">
        <v>123.17</v>
      </c>
      <c r="D45">
        <f>VLOOKUP(表1_[[#This Row],[地区]],Sheet2!A:B,2,0)</f>
        <v>150000</v>
      </c>
      <c r="E45">
        <f>表1_[[#This Row],[年份]]+表1_[[#This Row],[行政区域]]</f>
        <v>152020</v>
      </c>
    </row>
    <row r="46" spans="1:5" x14ac:dyDescent="0.3">
      <c r="A46" t="s">
        <v>304</v>
      </c>
      <c r="B46">
        <v>2019</v>
      </c>
      <c r="C46">
        <v>118.59</v>
      </c>
      <c r="D46">
        <f>VLOOKUP(表1_[[#This Row],[地区]],Sheet2!A:B,2,0)</f>
        <v>150000</v>
      </c>
      <c r="E46">
        <f>表1_[[#This Row],[年份]]+表1_[[#This Row],[行政区域]]</f>
        <v>152019</v>
      </c>
    </row>
    <row r="47" spans="1:5" x14ac:dyDescent="0.3">
      <c r="A47" t="s">
        <v>304</v>
      </c>
      <c r="B47">
        <v>2018</v>
      </c>
      <c r="C47">
        <v>120.14</v>
      </c>
      <c r="D47">
        <f>VLOOKUP(表1_[[#This Row],[地区]],Sheet2!A:B,2,0)</f>
        <v>150000</v>
      </c>
      <c r="E47">
        <f>表1_[[#This Row],[年份]]+表1_[[#This Row],[行政区域]]</f>
        <v>152018</v>
      </c>
    </row>
    <row r="48" spans="1:5" x14ac:dyDescent="0.3">
      <c r="A48" t="s">
        <v>304</v>
      </c>
      <c r="B48">
        <v>2017</v>
      </c>
      <c r="C48">
        <v>112.36</v>
      </c>
      <c r="D48">
        <f>VLOOKUP(表1_[[#This Row],[地区]],Sheet2!A:B,2,0)</f>
        <v>150000</v>
      </c>
      <c r="E48">
        <f>表1_[[#This Row],[年份]]+表1_[[#This Row],[行政区域]]</f>
        <v>152017</v>
      </c>
    </row>
    <row r="49" spans="1:5" x14ac:dyDescent="0.3">
      <c r="A49" t="s">
        <v>304</v>
      </c>
      <c r="B49">
        <v>2016</v>
      </c>
      <c r="C49">
        <v>98.04</v>
      </c>
      <c r="D49">
        <f>VLOOKUP(表1_[[#This Row],[地区]],Sheet2!A:B,2,0)</f>
        <v>150000</v>
      </c>
      <c r="E49">
        <f>表1_[[#This Row],[年份]]+表1_[[#This Row],[行政区域]]</f>
        <v>152016</v>
      </c>
    </row>
    <row r="50" spans="1:5" x14ac:dyDescent="0.3">
      <c r="A50" t="s">
        <v>304</v>
      </c>
      <c r="B50">
        <v>2015</v>
      </c>
      <c r="C50">
        <v>94.66</v>
      </c>
      <c r="D50">
        <f>VLOOKUP(表1_[[#This Row],[地区]],Sheet2!A:B,2,0)</f>
        <v>150000</v>
      </c>
      <c r="E50">
        <f>表1_[[#This Row],[年份]]+表1_[[#This Row],[行政区域]]</f>
        <v>152015</v>
      </c>
    </row>
    <row r="51" spans="1:5" x14ac:dyDescent="0.3">
      <c r="A51" t="s">
        <v>304</v>
      </c>
      <c r="B51">
        <v>2014</v>
      </c>
      <c r="C51">
        <v>105.18</v>
      </c>
      <c r="D51">
        <f>VLOOKUP(表1_[[#This Row],[地区]],Sheet2!A:B,2,0)</f>
        <v>150000</v>
      </c>
      <c r="E51">
        <f>表1_[[#This Row],[年份]]+表1_[[#This Row],[行政区域]]</f>
        <v>152014</v>
      </c>
    </row>
    <row r="52" spans="1:5" x14ac:dyDescent="0.3">
      <c r="A52" t="s">
        <v>305</v>
      </c>
      <c r="B52">
        <v>2023</v>
      </c>
      <c r="C52">
        <v>125.63</v>
      </c>
      <c r="D52">
        <f>VLOOKUP(表1_[[#This Row],[地区]],Sheet2!A:B,2,0)</f>
        <v>210000</v>
      </c>
      <c r="E52">
        <f>表1_[[#This Row],[年份]]+表1_[[#This Row],[行政区域]]</f>
        <v>212023</v>
      </c>
    </row>
    <row r="53" spans="1:5" x14ac:dyDescent="0.3">
      <c r="A53" t="s">
        <v>305</v>
      </c>
      <c r="B53">
        <v>2022</v>
      </c>
      <c r="C53">
        <v>121.54</v>
      </c>
      <c r="D53">
        <f>VLOOKUP(表1_[[#This Row],[地区]],Sheet2!A:B,2,0)</f>
        <v>210000</v>
      </c>
      <c r="E53">
        <f>表1_[[#This Row],[年份]]+表1_[[#This Row],[行政区域]]</f>
        <v>212022</v>
      </c>
    </row>
    <row r="54" spans="1:5" x14ac:dyDescent="0.3">
      <c r="A54" t="s">
        <v>305</v>
      </c>
      <c r="B54">
        <v>2021</v>
      </c>
      <c r="C54">
        <v>117.63</v>
      </c>
      <c r="D54">
        <f>VLOOKUP(表1_[[#This Row],[地区]],Sheet2!A:B,2,0)</f>
        <v>210000</v>
      </c>
      <c r="E54">
        <f>表1_[[#This Row],[年份]]+表1_[[#This Row],[行政区域]]</f>
        <v>212021</v>
      </c>
    </row>
    <row r="55" spans="1:5" x14ac:dyDescent="0.3">
      <c r="A55" t="s">
        <v>305</v>
      </c>
      <c r="B55">
        <v>2020</v>
      </c>
      <c r="C55">
        <v>114.43</v>
      </c>
      <c r="D55">
        <f>VLOOKUP(表1_[[#This Row],[地区]],Sheet2!A:B,2,0)</f>
        <v>210000</v>
      </c>
      <c r="E55">
        <f>表1_[[#This Row],[年份]]+表1_[[#This Row],[行政区域]]</f>
        <v>212020</v>
      </c>
    </row>
    <row r="56" spans="1:5" x14ac:dyDescent="0.3">
      <c r="A56" t="s">
        <v>305</v>
      </c>
      <c r="B56">
        <v>2019</v>
      </c>
      <c r="C56">
        <v>112.22</v>
      </c>
      <c r="D56">
        <f>VLOOKUP(表1_[[#This Row],[地区]],Sheet2!A:B,2,0)</f>
        <v>210000</v>
      </c>
      <c r="E56">
        <f>表1_[[#This Row],[年份]]+表1_[[#This Row],[行政区域]]</f>
        <v>212019</v>
      </c>
    </row>
    <row r="57" spans="1:5" x14ac:dyDescent="0.3">
      <c r="A57" t="s">
        <v>305</v>
      </c>
      <c r="B57">
        <v>2018</v>
      </c>
      <c r="C57">
        <v>111.96</v>
      </c>
      <c r="D57">
        <f>VLOOKUP(表1_[[#This Row],[地区]],Sheet2!A:B,2,0)</f>
        <v>210000</v>
      </c>
      <c r="E57">
        <f>表1_[[#This Row],[年份]]+表1_[[#This Row],[行政区域]]</f>
        <v>212018</v>
      </c>
    </row>
    <row r="58" spans="1:5" x14ac:dyDescent="0.3">
      <c r="A58" t="s">
        <v>305</v>
      </c>
      <c r="B58">
        <v>2017</v>
      </c>
      <c r="C58">
        <v>108.85</v>
      </c>
      <c r="D58">
        <f>VLOOKUP(表1_[[#This Row],[地区]],Sheet2!A:B,2,0)</f>
        <v>210000</v>
      </c>
      <c r="E58">
        <f>表1_[[#This Row],[年份]]+表1_[[#This Row],[行政区域]]</f>
        <v>212017</v>
      </c>
    </row>
    <row r="59" spans="1:5" x14ac:dyDescent="0.3">
      <c r="A59" t="s">
        <v>305</v>
      </c>
      <c r="B59">
        <v>2016</v>
      </c>
      <c r="C59">
        <v>101.13</v>
      </c>
      <c r="D59">
        <f>VLOOKUP(表1_[[#This Row],[地区]],Sheet2!A:B,2,0)</f>
        <v>210000</v>
      </c>
      <c r="E59">
        <f>表1_[[#This Row],[年份]]+表1_[[#This Row],[行政区域]]</f>
        <v>212016</v>
      </c>
    </row>
    <row r="60" spans="1:5" x14ac:dyDescent="0.3">
      <c r="A60" t="s">
        <v>305</v>
      </c>
      <c r="B60">
        <v>2015</v>
      </c>
      <c r="C60">
        <v>97.89</v>
      </c>
      <c r="D60">
        <f>VLOOKUP(表1_[[#This Row],[地区]],Sheet2!A:B,2,0)</f>
        <v>210000</v>
      </c>
      <c r="E60">
        <f>表1_[[#This Row],[年份]]+表1_[[#This Row],[行政区域]]</f>
        <v>212015</v>
      </c>
    </row>
    <row r="61" spans="1:5" x14ac:dyDescent="0.3">
      <c r="A61" t="s">
        <v>305</v>
      </c>
      <c r="B61">
        <v>2014</v>
      </c>
      <c r="C61">
        <v>103.29</v>
      </c>
      <c r="D61">
        <f>VLOOKUP(表1_[[#This Row],[地区]],Sheet2!A:B,2,0)</f>
        <v>210000</v>
      </c>
      <c r="E61">
        <f>表1_[[#This Row],[年份]]+表1_[[#This Row],[行政区域]]</f>
        <v>212014</v>
      </c>
    </row>
    <row r="62" spans="1:5" x14ac:dyDescent="0.3">
      <c r="A62" t="s">
        <v>306</v>
      </c>
      <c r="B62">
        <v>2023</v>
      </c>
      <c r="C62">
        <v>130.6</v>
      </c>
      <c r="D62">
        <f>VLOOKUP(表1_[[#This Row],[地区]],Sheet2!A:B,2,0)</f>
        <v>220000</v>
      </c>
      <c r="E62">
        <f>表1_[[#This Row],[年份]]+表1_[[#This Row],[行政区域]]</f>
        <v>222023</v>
      </c>
    </row>
    <row r="63" spans="1:5" x14ac:dyDescent="0.3">
      <c r="A63" t="s">
        <v>306</v>
      </c>
      <c r="B63">
        <v>2022</v>
      </c>
      <c r="C63">
        <v>128.12</v>
      </c>
      <c r="D63">
        <f>VLOOKUP(表1_[[#This Row],[地区]],Sheet2!A:B,2,0)</f>
        <v>220000</v>
      </c>
      <c r="E63">
        <f>表1_[[#This Row],[年份]]+表1_[[#This Row],[行政区域]]</f>
        <v>222022</v>
      </c>
    </row>
    <row r="64" spans="1:5" x14ac:dyDescent="0.3">
      <c r="A64" t="s">
        <v>306</v>
      </c>
      <c r="B64">
        <v>2021</v>
      </c>
      <c r="C64">
        <v>124.88</v>
      </c>
      <c r="D64">
        <f>VLOOKUP(表1_[[#This Row],[地区]],Sheet2!A:B,2,0)</f>
        <v>220000</v>
      </c>
      <c r="E64">
        <f>表1_[[#This Row],[年份]]+表1_[[#This Row],[行政区域]]</f>
        <v>222021</v>
      </c>
    </row>
    <row r="65" spans="1:5" x14ac:dyDescent="0.3">
      <c r="A65" t="s">
        <v>306</v>
      </c>
      <c r="B65">
        <v>2020</v>
      </c>
      <c r="C65">
        <v>119.22</v>
      </c>
      <c r="D65">
        <f>VLOOKUP(表1_[[#This Row],[地区]],Sheet2!A:B,2,0)</f>
        <v>220000</v>
      </c>
      <c r="E65">
        <f>表1_[[#This Row],[年份]]+表1_[[#This Row],[行政区域]]</f>
        <v>222020</v>
      </c>
    </row>
    <row r="66" spans="1:5" x14ac:dyDescent="0.3">
      <c r="A66" t="s">
        <v>306</v>
      </c>
      <c r="B66">
        <v>2019</v>
      </c>
      <c r="C66">
        <v>107.69</v>
      </c>
      <c r="D66">
        <f>VLOOKUP(表1_[[#This Row],[地区]],Sheet2!A:B,2,0)</f>
        <v>220000</v>
      </c>
      <c r="E66">
        <f>表1_[[#This Row],[年份]]+表1_[[#This Row],[行政区域]]</f>
        <v>222019</v>
      </c>
    </row>
    <row r="67" spans="1:5" x14ac:dyDescent="0.3">
      <c r="A67" t="s">
        <v>306</v>
      </c>
      <c r="B67">
        <v>2018</v>
      </c>
      <c r="C67">
        <v>110.98</v>
      </c>
      <c r="D67">
        <f>VLOOKUP(表1_[[#This Row],[地区]],Sheet2!A:B,2,0)</f>
        <v>220000</v>
      </c>
      <c r="E67">
        <f>表1_[[#This Row],[年份]]+表1_[[#This Row],[行政区域]]</f>
        <v>222018</v>
      </c>
    </row>
    <row r="68" spans="1:5" x14ac:dyDescent="0.3">
      <c r="A68" t="s">
        <v>306</v>
      </c>
      <c r="B68">
        <v>2017</v>
      </c>
      <c r="C68">
        <v>105.57</v>
      </c>
      <c r="D68">
        <f>VLOOKUP(表1_[[#This Row],[地区]],Sheet2!A:B,2,0)</f>
        <v>220000</v>
      </c>
      <c r="E68">
        <f>表1_[[#This Row],[年份]]+表1_[[#This Row],[行政区域]]</f>
        <v>222017</v>
      </c>
    </row>
    <row r="69" spans="1:5" x14ac:dyDescent="0.3">
      <c r="A69" t="s">
        <v>306</v>
      </c>
      <c r="B69">
        <v>2016</v>
      </c>
      <c r="C69">
        <v>97.14</v>
      </c>
      <c r="D69">
        <f>VLOOKUP(表1_[[#This Row],[地区]],Sheet2!A:B,2,0)</f>
        <v>220000</v>
      </c>
      <c r="E69">
        <f>表1_[[#This Row],[年份]]+表1_[[#This Row],[行政区域]]</f>
        <v>222016</v>
      </c>
    </row>
    <row r="70" spans="1:5" x14ac:dyDescent="0.3">
      <c r="A70" t="s">
        <v>306</v>
      </c>
      <c r="B70">
        <v>2015</v>
      </c>
      <c r="C70">
        <v>91.22</v>
      </c>
      <c r="D70">
        <f>VLOOKUP(表1_[[#This Row],[地区]],Sheet2!A:B,2,0)</f>
        <v>220000</v>
      </c>
      <c r="E70">
        <f>表1_[[#This Row],[年份]]+表1_[[#This Row],[行政区域]]</f>
        <v>222015</v>
      </c>
    </row>
    <row r="71" spans="1:5" x14ac:dyDescent="0.3">
      <c r="A71" t="s">
        <v>306</v>
      </c>
      <c r="B71">
        <v>2014</v>
      </c>
      <c r="C71">
        <v>94.91</v>
      </c>
      <c r="D71">
        <f>VLOOKUP(表1_[[#This Row],[地区]],Sheet2!A:B,2,0)</f>
        <v>220000</v>
      </c>
      <c r="E71">
        <f>表1_[[#This Row],[年份]]+表1_[[#This Row],[行政区域]]</f>
        <v>222014</v>
      </c>
    </row>
    <row r="72" spans="1:5" x14ac:dyDescent="0.3">
      <c r="A72" t="s">
        <v>307</v>
      </c>
      <c r="B72">
        <v>2023</v>
      </c>
      <c r="C72">
        <v>128.93</v>
      </c>
      <c r="D72">
        <f>VLOOKUP(表1_[[#This Row],[地区]],Sheet2!A:B,2,0)</f>
        <v>230000</v>
      </c>
      <c r="E72">
        <f>表1_[[#This Row],[年份]]+表1_[[#This Row],[行政区域]]</f>
        <v>232023</v>
      </c>
    </row>
    <row r="73" spans="1:5" x14ac:dyDescent="0.3">
      <c r="A73" t="s">
        <v>307</v>
      </c>
      <c r="B73">
        <v>2022</v>
      </c>
      <c r="C73">
        <v>123.54</v>
      </c>
      <c r="D73">
        <f>VLOOKUP(表1_[[#This Row],[地区]],Sheet2!A:B,2,0)</f>
        <v>230000</v>
      </c>
      <c r="E73">
        <f>表1_[[#This Row],[年份]]+表1_[[#This Row],[行政区域]]</f>
        <v>232022</v>
      </c>
    </row>
    <row r="74" spans="1:5" x14ac:dyDescent="0.3">
      <c r="A74" t="s">
        <v>307</v>
      </c>
      <c r="B74">
        <v>2021</v>
      </c>
      <c r="C74">
        <v>120.3</v>
      </c>
      <c r="D74">
        <f>VLOOKUP(表1_[[#This Row],[地区]],Sheet2!A:B,2,0)</f>
        <v>230000</v>
      </c>
      <c r="E74">
        <f>表1_[[#This Row],[年份]]+表1_[[#This Row],[行政区域]]</f>
        <v>232021</v>
      </c>
    </row>
    <row r="75" spans="1:5" x14ac:dyDescent="0.3">
      <c r="A75" t="s">
        <v>307</v>
      </c>
      <c r="B75">
        <v>2020</v>
      </c>
      <c r="C75">
        <v>120.7</v>
      </c>
      <c r="D75">
        <f>VLOOKUP(表1_[[#This Row],[地区]],Sheet2!A:B,2,0)</f>
        <v>230000</v>
      </c>
      <c r="E75">
        <f>表1_[[#This Row],[年份]]+表1_[[#This Row],[行政区域]]</f>
        <v>232020</v>
      </c>
    </row>
    <row r="76" spans="1:5" x14ac:dyDescent="0.3">
      <c r="A76" t="s">
        <v>307</v>
      </c>
      <c r="B76">
        <v>2019</v>
      </c>
      <c r="C76">
        <v>104.74</v>
      </c>
      <c r="D76">
        <f>VLOOKUP(表1_[[#This Row],[地区]],Sheet2!A:B,2,0)</f>
        <v>230000</v>
      </c>
      <c r="E76">
        <f>表1_[[#This Row],[年份]]+表1_[[#This Row],[行政区域]]</f>
        <v>232019</v>
      </c>
    </row>
    <row r="77" spans="1:5" x14ac:dyDescent="0.3">
      <c r="A77" t="s">
        <v>307</v>
      </c>
      <c r="B77">
        <v>2018</v>
      </c>
      <c r="C77">
        <v>101.6</v>
      </c>
      <c r="D77">
        <f>VLOOKUP(表1_[[#This Row],[地区]],Sheet2!A:B,2,0)</f>
        <v>230000</v>
      </c>
      <c r="E77">
        <f>表1_[[#This Row],[年份]]+表1_[[#This Row],[行政区域]]</f>
        <v>232018</v>
      </c>
    </row>
    <row r="78" spans="1:5" x14ac:dyDescent="0.3">
      <c r="A78" t="s">
        <v>307</v>
      </c>
      <c r="B78">
        <v>2017</v>
      </c>
      <c r="C78">
        <v>96.53</v>
      </c>
      <c r="D78">
        <f>VLOOKUP(表1_[[#This Row],[地区]],Sheet2!A:B,2,0)</f>
        <v>230000</v>
      </c>
      <c r="E78">
        <f>表1_[[#This Row],[年份]]+表1_[[#This Row],[行政区域]]</f>
        <v>232017</v>
      </c>
    </row>
    <row r="79" spans="1:5" x14ac:dyDescent="0.3">
      <c r="A79" t="s">
        <v>307</v>
      </c>
      <c r="B79">
        <v>2016</v>
      </c>
      <c r="C79">
        <v>90.69</v>
      </c>
      <c r="D79">
        <f>VLOOKUP(表1_[[#This Row],[地区]],Sheet2!A:B,2,0)</f>
        <v>230000</v>
      </c>
      <c r="E79">
        <f>表1_[[#This Row],[年份]]+表1_[[#This Row],[行政区域]]</f>
        <v>232016</v>
      </c>
    </row>
    <row r="80" spans="1:5" x14ac:dyDescent="0.3">
      <c r="A80" t="s">
        <v>307</v>
      </c>
      <c r="B80">
        <v>2015</v>
      </c>
      <c r="C80">
        <v>87.36</v>
      </c>
      <c r="D80">
        <f>VLOOKUP(表1_[[#This Row],[地区]],Sheet2!A:B,2,0)</f>
        <v>230000</v>
      </c>
      <c r="E80">
        <f>表1_[[#This Row],[年份]]+表1_[[#This Row],[行政区域]]</f>
        <v>232015</v>
      </c>
    </row>
    <row r="81" spans="1:5" x14ac:dyDescent="0.3">
      <c r="A81" t="s">
        <v>307</v>
      </c>
      <c r="B81">
        <v>2014</v>
      </c>
      <c r="C81">
        <v>90.21</v>
      </c>
      <c r="D81">
        <f>VLOOKUP(表1_[[#This Row],[地区]],Sheet2!A:B,2,0)</f>
        <v>230000</v>
      </c>
      <c r="E81">
        <f>表1_[[#This Row],[年份]]+表1_[[#This Row],[行政区域]]</f>
        <v>232014</v>
      </c>
    </row>
    <row r="82" spans="1:5" x14ac:dyDescent="0.3">
      <c r="A82" t="s">
        <v>308</v>
      </c>
      <c r="B82">
        <v>2023</v>
      </c>
      <c r="C82">
        <v>188.62</v>
      </c>
      <c r="D82">
        <f>VLOOKUP(表1_[[#This Row],[地区]],Sheet2!A:B,2,0)</f>
        <v>310000</v>
      </c>
      <c r="E82">
        <f>表1_[[#This Row],[年份]]+表1_[[#This Row],[行政区域]]</f>
        <v>312023</v>
      </c>
    </row>
    <row r="83" spans="1:5" x14ac:dyDescent="0.3">
      <c r="A83" t="s">
        <v>308</v>
      </c>
      <c r="B83">
        <v>2022</v>
      </c>
      <c r="C83">
        <v>179.04</v>
      </c>
      <c r="D83">
        <f>VLOOKUP(表1_[[#This Row],[地区]],Sheet2!A:B,2,0)</f>
        <v>310000</v>
      </c>
      <c r="E83">
        <f>表1_[[#This Row],[年份]]+表1_[[#This Row],[行政区域]]</f>
        <v>312022</v>
      </c>
    </row>
    <row r="84" spans="1:5" x14ac:dyDescent="0.3">
      <c r="A84" t="s">
        <v>308</v>
      </c>
      <c r="B84">
        <v>2021</v>
      </c>
      <c r="C84">
        <v>176.7</v>
      </c>
      <c r="D84">
        <f>VLOOKUP(表1_[[#This Row],[地区]],Sheet2!A:B,2,0)</f>
        <v>310000</v>
      </c>
      <c r="E84">
        <f>表1_[[#This Row],[年份]]+表1_[[#This Row],[行政区域]]</f>
        <v>312021</v>
      </c>
    </row>
    <row r="85" spans="1:5" x14ac:dyDescent="0.3">
      <c r="A85" t="s">
        <v>308</v>
      </c>
      <c r="B85">
        <v>2020</v>
      </c>
      <c r="C85">
        <v>171.99</v>
      </c>
      <c r="D85">
        <f>VLOOKUP(表1_[[#This Row],[地区]],Sheet2!A:B,2,0)</f>
        <v>310000</v>
      </c>
      <c r="E85">
        <f>表1_[[#This Row],[年份]]+表1_[[#This Row],[行政区域]]</f>
        <v>312020</v>
      </c>
    </row>
    <row r="86" spans="1:5" x14ac:dyDescent="0.3">
      <c r="A86" t="s">
        <v>308</v>
      </c>
      <c r="B86">
        <v>2019</v>
      </c>
      <c r="C86">
        <v>165.06</v>
      </c>
      <c r="D86">
        <f>VLOOKUP(表1_[[#This Row],[地区]],Sheet2!A:B,2,0)</f>
        <v>310000</v>
      </c>
      <c r="E86">
        <f>表1_[[#This Row],[年份]]+表1_[[#This Row],[行政区域]]</f>
        <v>312019</v>
      </c>
    </row>
    <row r="87" spans="1:5" x14ac:dyDescent="0.3">
      <c r="A87" t="s">
        <v>308</v>
      </c>
      <c r="B87">
        <v>2018</v>
      </c>
      <c r="C87">
        <v>153.57</v>
      </c>
      <c r="D87">
        <f>VLOOKUP(表1_[[#This Row],[地区]],Sheet2!A:B,2,0)</f>
        <v>310000</v>
      </c>
      <c r="E87">
        <f>表1_[[#This Row],[年份]]+表1_[[#This Row],[行政区域]]</f>
        <v>312018</v>
      </c>
    </row>
    <row r="88" spans="1:5" x14ac:dyDescent="0.3">
      <c r="A88" t="s">
        <v>308</v>
      </c>
      <c r="B88">
        <v>2017</v>
      </c>
      <c r="C88">
        <v>136.4</v>
      </c>
      <c r="D88">
        <f>VLOOKUP(表1_[[#This Row],[地区]],Sheet2!A:B,2,0)</f>
        <v>310000</v>
      </c>
      <c r="E88">
        <f>表1_[[#This Row],[年份]]+表1_[[#This Row],[行政区域]]</f>
        <v>312017</v>
      </c>
    </row>
    <row r="89" spans="1:5" x14ac:dyDescent="0.3">
      <c r="A89" t="s">
        <v>308</v>
      </c>
      <c r="B89">
        <v>2016</v>
      </c>
      <c r="C89">
        <v>130.44</v>
      </c>
      <c r="D89">
        <f>VLOOKUP(表1_[[#This Row],[地区]],Sheet2!A:B,2,0)</f>
        <v>310000</v>
      </c>
      <c r="E89">
        <f>表1_[[#This Row],[年份]]+表1_[[#This Row],[行政区域]]</f>
        <v>312016</v>
      </c>
    </row>
    <row r="90" spans="1:5" x14ac:dyDescent="0.3">
      <c r="A90" t="s">
        <v>308</v>
      </c>
      <c r="B90">
        <v>2015</v>
      </c>
      <c r="C90">
        <v>129.69</v>
      </c>
      <c r="D90">
        <f>VLOOKUP(表1_[[#This Row],[地区]],Sheet2!A:B,2,0)</f>
        <v>310000</v>
      </c>
      <c r="E90">
        <f>表1_[[#This Row],[年份]]+表1_[[#This Row],[行政区域]]</f>
        <v>312015</v>
      </c>
    </row>
    <row r="91" spans="1:5" x14ac:dyDescent="0.3">
      <c r="A91" t="s">
        <v>308</v>
      </c>
      <c r="B91">
        <v>2014</v>
      </c>
      <c r="C91">
        <v>135.74</v>
      </c>
      <c r="D91">
        <f>VLOOKUP(表1_[[#This Row],[地区]],Sheet2!A:B,2,0)</f>
        <v>310000</v>
      </c>
      <c r="E91">
        <f>表1_[[#This Row],[年份]]+表1_[[#This Row],[行政区域]]</f>
        <v>312014</v>
      </c>
    </row>
    <row r="92" spans="1:5" x14ac:dyDescent="0.3">
      <c r="A92" t="s">
        <v>309</v>
      </c>
      <c r="B92">
        <v>2023</v>
      </c>
      <c r="C92">
        <v>129.34</v>
      </c>
      <c r="D92">
        <f>VLOOKUP(表1_[[#This Row],[地区]],Sheet2!A:B,2,0)</f>
        <v>320000</v>
      </c>
      <c r="E92">
        <f>表1_[[#This Row],[年份]]+表1_[[#This Row],[行政区域]]</f>
        <v>322023</v>
      </c>
    </row>
    <row r="93" spans="1:5" x14ac:dyDescent="0.3">
      <c r="A93" t="s">
        <v>309</v>
      </c>
      <c r="B93">
        <v>2022</v>
      </c>
      <c r="C93">
        <v>124.1</v>
      </c>
      <c r="D93">
        <f>VLOOKUP(表1_[[#This Row],[地区]],Sheet2!A:B,2,0)</f>
        <v>320000</v>
      </c>
      <c r="E93">
        <f>表1_[[#This Row],[年份]]+表1_[[#This Row],[行政区域]]</f>
        <v>322022</v>
      </c>
    </row>
    <row r="94" spans="1:5" x14ac:dyDescent="0.3">
      <c r="A94" t="s">
        <v>309</v>
      </c>
      <c r="B94">
        <v>2021</v>
      </c>
      <c r="C94">
        <v>119.68</v>
      </c>
      <c r="D94">
        <f>VLOOKUP(表1_[[#This Row],[地区]],Sheet2!A:B,2,0)</f>
        <v>320000</v>
      </c>
      <c r="E94">
        <f>表1_[[#This Row],[年份]]+表1_[[#This Row],[行政区域]]</f>
        <v>322021</v>
      </c>
    </row>
    <row r="95" spans="1:5" x14ac:dyDescent="0.3">
      <c r="A95" t="s">
        <v>309</v>
      </c>
      <c r="B95">
        <v>2020</v>
      </c>
      <c r="C95">
        <v>116.78</v>
      </c>
      <c r="D95">
        <f>VLOOKUP(表1_[[#This Row],[地区]],Sheet2!A:B,2,0)</f>
        <v>320000</v>
      </c>
      <c r="E95">
        <f>表1_[[#This Row],[年份]]+表1_[[#This Row],[行政区域]]</f>
        <v>322020</v>
      </c>
    </row>
    <row r="96" spans="1:5" x14ac:dyDescent="0.3">
      <c r="A96" t="s">
        <v>309</v>
      </c>
      <c r="B96">
        <v>2019</v>
      </c>
      <c r="C96">
        <v>125.97</v>
      </c>
      <c r="D96">
        <f>VLOOKUP(表1_[[#This Row],[地区]],Sheet2!A:B,2,0)</f>
        <v>320000</v>
      </c>
      <c r="E96">
        <f>表1_[[#This Row],[年份]]+表1_[[#This Row],[行政区域]]</f>
        <v>322019</v>
      </c>
    </row>
    <row r="97" spans="1:5" x14ac:dyDescent="0.3">
      <c r="A97" t="s">
        <v>309</v>
      </c>
      <c r="B97">
        <v>2018</v>
      </c>
      <c r="C97">
        <v>121.65</v>
      </c>
      <c r="D97">
        <f>VLOOKUP(表1_[[#This Row],[地区]],Sheet2!A:B,2,0)</f>
        <v>320000</v>
      </c>
      <c r="E97">
        <f>表1_[[#This Row],[年份]]+表1_[[#This Row],[行政区域]]</f>
        <v>322018</v>
      </c>
    </row>
    <row r="98" spans="1:5" x14ac:dyDescent="0.3">
      <c r="A98" t="s">
        <v>309</v>
      </c>
      <c r="B98">
        <v>2017</v>
      </c>
      <c r="C98">
        <v>109.69</v>
      </c>
      <c r="D98">
        <f>VLOOKUP(表1_[[#This Row],[地区]],Sheet2!A:B,2,0)</f>
        <v>320000</v>
      </c>
      <c r="E98">
        <f>表1_[[#This Row],[年份]]+表1_[[#This Row],[行政区域]]</f>
        <v>322017</v>
      </c>
    </row>
    <row r="99" spans="1:5" x14ac:dyDescent="0.3">
      <c r="A99" t="s">
        <v>309</v>
      </c>
      <c r="B99">
        <v>2016</v>
      </c>
      <c r="C99">
        <v>102.5</v>
      </c>
      <c r="D99">
        <f>VLOOKUP(表1_[[#This Row],[地区]],Sheet2!A:B,2,0)</f>
        <v>320000</v>
      </c>
      <c r="E99">
        <f>表1_[[#This Row],[年份]]+表1_[[#This Row],[行政区域]]</f>
        <v>322016</v>
      </c>
    </row>
    <row r="100" spans="1:5" x14ac:dyDescent="0.3">
      <c r="A100" t="s">
        <v>309</v>
      </c>
      <c r="B100">
        <v>2015</v>
      </c>
      <c r="C100">
        <v>100.21</v>
      </c>
      <c r="D100">
        <f>VLOOKUP(表1_[[#This Row],[地区]],Sheet2!A:B,2,0)</f>
        <v>320000</v>
      </c>
      <c r="E100">
        <f>表1_[[#This Row],[年份]]+表1_[[#This Row],[行政区域]]</f>
        <v>322015</v>
      </c>
    </row>
    <row r="101" spans="1:5" x14ac:dyDescent="0.3">
      <c r="A101" t="s">
        <v>309</v>
      </c>
      <c r="B101">
        <v>2014</v>
      </c>
      <c r="C101">
        <v>101.39</v>
      </c>
      <c r="D101">
        <f>VLOOKUP(表1_[[#This Row],[地区]],Sheet2!A:B,2,0)</f>
        <v>320000</v>
      </c>
      <c r="E101">
        <f>表1_[[#This Row],[年份]]+表1_[[#This Row],[行政区域]]</f>
        <v>322014</v>
      </c>
    </row>
    <row r="102" spans="1:5" x14ac:dyDescent="0.3">
      <c r="A102" t="s">
        <v>310</v>
      </c>
      <c r="B102">
        <v>2023</v>
      </c>
      <c r="C102">
        <v>141.88999999999999</v>
      </c>
      <c r="D102">
        <f>VLOOKUP(表1_[[#This Row],[地区]],Sheet2!A:B,2,0)</f>
        <v>330000</v>
      </c>
      <c r="E102">
        <f>表1_[[#This Row],[年份]]+表1_[[#This Row],[行政区域]]</f>
        <v>332023</v>
      </c>
    </row>
    <row r="103" spans="1:5" x14ac:dyDescent="0.3">
      <c r="A103" t="s">
        <v>310</v>
      </c>
      <c r="B103">
        <v>2022</v>
      </c>
      <c r="C103">
        <v>137.19999999999999</v>
      </c>
      <c r="D103">
        <f>VLOOKUP(表1_[[#This Row],[地区]],Sheet2!A:B,2,0)</f>
        <v>330000</v>
      </c>
      <c r="E103">
        <f>表1_[[#This Row],[年份]]+表1_[[#This Row],[行政区域]]</f>
        <v>332022</v>
      </c>
    </row>
    <row r="104" spans="1:5" x14ac:dyDescent="0.3">
      <c r="A104" t="s">
        <v>310</v>
      </c>
      <c r="B104">
        <v>2021</v>
      </c>
      <c r="C104">
        <v>135.47</v>
      </c>
      <c r="D104">
        <f>VLOOKUP(表1_[[#This Row],[地区]],Sheet2!A:B,2,0)</f>
        <v>330000</v>
      </c>
      <c r="E104">
        <f>表1_[[#This Row],[年份]]+表1_[[#This Row],[行政区域]]</f>
        <v>332021</v>
      </c>
    </row>
    <row r="105" spans="1:5" x14ac:dyDescent="0.3">
      <c r="A105" t="s">
        <v>310</v>
      </c>
      <c r="B105">
        <v>2020</v>
      </c>
      <c r="C105">
        <v>132.96</v>
      </c>
      <c r="D105">
        <f>VLOOKUP(表1_[[#This Row],[地区]],Sheet2!A:B,2,0)</f>
        <v>330000</v>
      </c>
      <c r="E105">
        <f>表1_[[#This Row],[年份]]+表1_[[#This Row],[行政区域]]</f>
        <v>332020</v>
      </c>
    </row>
    <row r="106" spans="1:5" x14ac:dyDescent="0.3">
      <c r="A106" t="s">
        <v>310</v>
      </c>
      <c r="B106">
        <v>2019</v>
      </c>
      <c r="C106">
        <v>149.34</v>
      </c>
      <c r="D106">
        <f>VLOOKUP(表1_[[#This Row],[地区]],Sheet2!A:B,2,0)</f>
        <v>330000</v>
      </c>
      <c r="E106">
        <f>表1_[[#This Row],[年份]]+表1_[[#This Row],[行政区域]]</f>
        <v>332019</v>
      </c>
    </row>
    <row r="107" spans="1:5" x14ac:dyDescent="0.3">
      <c r="A107" t="s">
        <v>310</v>
      </c>
      <c r="B107">
        <v>2018</v>
      </c>
      <c r="C107">
        <v>144.83000000000001</v>
      </c>
      <c r="D107">
        <f>VLOOKUP(表1_[[#This Row],[地区]],Sheet2!A:B,2,0)</f>
        <v>330000</v>
      </c>
      <c r="E107">
        <f>表1_[[#This Row],[年份]]+表1_[[#This Row],[行政区域]]</f>
        <v>332018</v>
      </c>
    </row>
    <row r="108" spans="1:5" x14ac:dyDescent="0.3">
      <c r="A108" t="s">
        <v>310</v>
      </c>
      <c r="B108">
        <v>2017</v>
      </c>
      <c r="C108">
        <v>134.18</v>
      </c>
      <c r="D108">
        <f>VLOOKUP(表1_[[#This Row],[地区]],Sheet2!A:B,2,0)</f>
        <v>330000</v>
      </c>
      <c r="E108">
        <f>表1_[[#This Row],[年份]]+表1_[[#This Row],[行政区域]]</f>
        <v>332017</v>
      </c>
    </row>
    <row r="109" spans="1:5" x14ac:dyDescent="0.3">
      <c r="A109" t="s">
        <v>310</v>
      </c>
      <c r="B109">
        <v>2016</v>
      </c>
      <c r="C109">
        <v>129.27000000000001</v>
      </c>
      <c r="D109">
        <f>VLOOKUP(表1_[[#This Row],[地区]],Sheet2!A:B,2,0)</f>
        <v>330000</v>
      </c>
      <c r="E109">
        <f>表1_[[#This Row],[年份]]+表1_[[#This Row],[行政区域]]</f>
        <v>332016</v>
      </c>
    </row>
    <row r="110" spans="1:5" x14ac:dyDescent="0.3">
      <c r="A110" t="s">
        <v>310</v>
      </c>
      <c r="B110">
        <v>2015</v>
      </c>
      <c r="C110">
        <v>131.5</v>
      </c>
      <c r="D110">
        <f>VLOOKUP(表1_[[#This Row],[地区]],Sheet2!A:B,2,0)</f>
        <v>330000</v>
      </c>
      <c r="E110">
        <f>表1_[[#This Row],[年份]]+表1_[[#This Row],[行政区域]]</f>
        <v>332015</v>
      </c>
    </row>
    <row r="111" spans="1:5" x14ac:dyDescent="0.3">
      <c r="A111" t="s">
        <v>310</v>
      </c>
      <c r="B111">
        <v>2014</v>
      </c>
      <c r="C111">
        <v>133.82</v>
      </c>
      <c r="D111">
        <f>VLOOKUP(表1_[[#This Row],[地区]],Sheet2!A:B,2,0)</f>
        <v>330000</v>
      </c>
      <c r="E111">
        <f>表1_[[#This Row],[年份]]+表1_[[#This Row],[行政区域]]</f>
        <v>332014</v>
      </c>
    </row>
    <row r="112" spans="1:5" x14ac:dyDescent="0.3">
      <c r="A112" t="s">
        <v>311</v>
      </c>
      <c r="B112">
        <v>2023</v>
      </c>
      <c r="C112">
        <v>108.12</v>
      </c>
      <c r="D112">
        <f>VLOOKUP(表1_[[#This Row],[地区]],Sheet2!A:B,2,0)</f>
        <v>340000</v>
      </c>
      <c r="E112">
        <f>表1_[[#This Row],[年份]]+表1_[[#This Row],[行政区域]]</f>
        <v>342023</v>
      </c>
    </row>
    <row r="113" spans="1:5" x14ac:dyDescent="0.3">
      <c r="A113" t="s">
        <v>311</v>
      </c>
      <c r="B113">
        <v>2022</v>
      </c>
      <c r="C113">
        <v>104.12</v>
      </c>
      <c r="D113">
        <f>VLOOKUP(表1_[[#This Row],[地区]],Sheet2!A:B,2,0)</f>
        <v>340000</v>
      </c>
      <c r="E113">
        <f>表1_[[#This Row],[年份]]+表1_[[#This Row],[行政区域]]</f>
        <v>342022</v>
      </c>
    </row>
    <row r="114" spans="1:5" x14ac:dyDescent="0.3">
      <c r="A114" t="s">
        <v>311</v>
      </c>
      <c r="B114">
        <v>2021</v>
      </c>
      <c r="C114">
        <v>101.3</v>
      </c>
      <c r="D114">
        <f>VLOOKUP(表1_[[#This Row],[地区]],Sheet2!A:B,2,0)</f>
        <v>340000</v>
      </c>
      <c r="E114">
        <f>表1_[[#This Row],[年份]]+表1_[[#This Row],[行政区域]]</f>
        <v>342021</v>
      </c>
    </row>
    <row r="115" spans="1:5" x14ac:dyDescent="0.3">
      <c r="A115" t="s">
        <v>311</v>
      </c>
      <c r="B115">
        <v>2020</v>
      </c>
      <c r="C115">
        <v>98.74</v>
      </c>
      <c r="D115">
        <f>VLOOKUP(表1_[[#This Row],[地区]],Sheet2!A:B,2,0)</f>
        <v>340000</v>
      </c>
      <c r="E115">
        <f>表1_[[#This Row],[年份]]+表1_[[#This Row],[行政区域]]</f>
        <v>342020</v>
      </c>
    </row>
    <row r="116" spans="1:5" x14ac:dyDescent="0.3">
      <c r="A116" t="s">
        <v>311</v>
      </c>
      <c r="B116">
        <v>2019</v>
      </c>
      <c r="C116">
        <v>91.8</v>
      </c>
      <c r="D116">
        <f>VLOOKUP(表1_[[#This Row],[地区]],Sheet2!A:B,2,0)</f>
        <v>340000</v>
      </c>
      <c r="E116">
        <f>表1_[[#This Row],[年份]]+表1_[[#This Row],[行政区域]]</f>
        <v>342019</v>
      </c>
    </row>
    <row r="117" spans="1:5" x14ac:dyDescent="0.3">
      <c r="A117" t="s">
        <v>311</v>
      </c>
      <c r="B117">
        <v>2018</v>
      </c>
      <c r="C117">
        <v>87.54</v>
      </c>
      <c r="D117">
        <f>VLOOKUP(表1_[[#This Row],[地区]],Sheet2!A:B,2,0)</f>
        <v>340000</v>
      </c>
      <c r="E117">
        <f>表1_[[#This Row],[年份]]+表1_[[#This Row],[行政区域]]</f>
        <v>342018</v>
      </c>
    </row>
    <row r="118" spans="1:5" x14ac:dyDescent="0.3">
      <c r="A118" t="s">
        <v>311</v>
      </c>
      <c r="B118">
        <v>2017</v>
      </c>
      <c r="C118">
        <v>78.09</v>
      </c>
      <c r="D118">
        <f>VLOOKUP(表1_[[#This Row],[地区]],Sheet2!A:B,2,0)</f>
        <v>340000</v>
      </c>
      <c r="E118">
        <f>表1_[[#This Row],[年份]]+表1_[[#This Row],[行政区域]]</f>
        <v>342017</v>
      </c>
    </row>
    <row r="119" spans="1:5" x14ac:dyDescent="0.3">
      <c r="A119" t="s">
        <v>311</v>
      </c>
      <c r="B119">
        <v>2016</v>
      </c>
      <c r="C119">
        <v>70.099999999999994</v>
      </c>
      <c r="D119">
        <f>VLOOKUP(表1_[[#This Row],[地区]],Sheet2!A:B,2,0)</f>
        <v>340000</v>
      </c>
      <c r="E119">
        <f>表1_[[#This Row],[年份]]+表1_[[#This Row],[行政区域]]</f>
        <v>342016</v>
      </c>
    </row>
    <row r="120" spans="1:5" x14ac:dyDescent="0.3">
      <c r="A120" t="s">
        <v>311</v>
      </c>
      <c r="B120">
        <v>2015</v>
      </c>
      <c r="C120">
        <v>68.17</v>
      </c>
      <c r="D120">
        <f>VLOOKUP(表1_[[#This Row],[地区]],Sheet2!A:B,2,0)</f>
        <v>340000</v>
      </c>
      <c r="E120">
        <f>表1_[[#This Row],[年份]]+表1_[[#This Row],[行政区域]]</f>
        <v>342015</v>
      </c>
    </row>
    <row r="121" spans="1:5" x14ac:dyDescent="0.3">
      <c r="A121" t="s">
        <v>311</v>
      </c>
      <c r="B121">
        <v>2014</v>
      </c>
      <c r="C121">
        <v>69.31</v>
      </c>
      <c r="D121">
        <f>VLOOKUP(表1_[[#This Row],[地区]],Sheet2!A:B,2,0)</f>
        <v>340000</v>
      </c>
      <c r="E121">
        <f>表1_[[#This Row],[年份]]+表1_[[#This Row],[行政区域]]</f>
        <v>342014</v>
      </c>
    </row>
    <row r="122" spans="1:5" x14ac:dyDescent="0.3">
      <c r="A122" t="s">
        <v>312</v>
      </c>
      <c r="B122">
        <v>2023</v>
      </c>
      <c r="C122">
        <v>118.82</v>
      </c>
      <c r="D122">
        <f>VLOOKUP(表1_[[#This Row],[地区]],Sheet2!A:B,2,0)</f>
        <v>350000</v>
      </c>
      <c r="E122">
        <f>表1_[[#This Row],[年份]]+表1_[[#This Row],[行政区域]]</f>
        <v>352023</v>
      </c>
    </row>
    <row r="123" spans="1:5" x14ac:dyDescent="0.3">
      <c r="A123" t="s">
        <v>312</v>
      </c>
      <c r="B123">
        <v>2022</v>
      </c>
      <c r="C123">
        <v>116.87</v>
      </c>
      <c r="D123">
        <f>VLOOKUP(表1_[[#This Row],[地区]],Sheet2!A:B,2,0)</f>
        <v>350000</v>
      </c>
      <c r="E123">
        <f>表1_[[#This Row],[年份]]+表1_[[#This Row],[行政区域]]</f>
        <v>352022</v>
      </c>
    </row>
    <row r="124" spans="1:5" x14ac:dyDescent="0.3">
      <c r="A124" t="s">
        <v>312</v>
      </c>
      <c r="B124">
        <v>2021</v>
      </c>
      <c r="C124">
        <v>115.22</v>
      </c>
      <c r="D124">
        <f>VLOOKUP(表1_[[#This Row],[地区]],Sheet2!A:B,2,0)</f>
        <v>350000</v>
      </c>
      <c r="E124">
        <f>表1_[[#This Row],[年份]]+表1_[[#This Row],[行政区域]]</f>
        <v>352021</v>
      </c>
    </row>
    <row r="125" spans="1:5" x14ac:dyDescent="0.3">
      <c r="A125" t="s">
        <v>312</v>
      </c>
      <c r="B125">
        <v>2020</v>
      </c>
      <c r="C125">
        <v>114.09</v>
      </c>
      <c r="D125">
        <f>VLOOKUP(表1_[[#This Row],[地区]],Sheet2!A:B,2,0)</f>
        <v>350000</v>
      </c>
      <c r="E125">
        <f>表1_[[#This Row],[年份]]+表1_[[#This Row],[行政区域]]</f>
        <v>352020</v>
      </c>
    </row>
    <row r="126" spans="1:5" x14ac:dyDescent="0.3">
      <c r="A126" t="s">
        <v>312</v>
      </c>
      <c r="B126">
        <v>2019</v>
      </c>
      <c r="C126">
        <v>118.81</v>
      </c>
      <c r="D126">
        <f>VLOOKUP(表1_[[#This Row],[地区]],Sheet2!A:B,2,0)</f>
        <v>350000</v>
      </c>
      <c r="E126">
        <f>表1_[[#This Row],[年份]]+表1_[[#This Row],[行政区域]]</f>
        <v>352019</v>
      </c>
    </row>
    <row r="127" spans="1:5" x14ac:dyDescent="0.3">
      <c r="A127" t="s">
        <v>312</v>
      </c>
      <c r="B127">
        <v>2018</v>
      </c>
      <c r="C127">
        <v>115.54</v>
      </c>
      <c r="D127">
        <f>VLOOKUP(表1_[[#This Row],[地区]],Sheet2!A:B,2,0)</f>
        <v>350000</v>
      </c>
      <c r="E127">
        <f>表1_[[#This Row],[年份]]+表1_[[#This Row],[行政区域]]</f>
        <v>352018</v>
      </c>
    </row>
    <row r="128" spans="1:5" x14ac:dyDescent="0.3">
      <c r="A128" t="s">
        <v>312</v>
      </c>
      <c r="B128">
        <v>2017</v>
      </c>
      <c r="C128">
        <v>109.82</v>
      </c>
      <c r="D128">
        <f>VLOOKUP(表1_[[#This Row],[地区]],Sheet2!A:B,2,0)</f>
        <v>350000</v>
      </c>
      <c r="E128">
        <f>表1_[[#This Row],[年份]]+表1_[[#This Row],[行政区域]]</f>
        <v>352017</v>
      </c>
    </row>
    <row r="129" spans="1:5" x14ac:dyDescent="0.3">
      <c r="A129" t="s">
        <v>312</v>
      </c>
      <c r="B129">
        <v>2016</v>
      </c>
      <c r="C129">
        <v>107.36</v>
      </c>
      <c r="D129">
        <f>VLOOKUP(表1_[[#This Row],[地区]],Sheet2!A:B,2,0)</f>
        <v>350000</v>
      </c>
      <c r="E129">
        <f>表1_[[#This Row],[年份]]+表1_[[#This Row],[行政区域]]</f>
        <v>352016</v>
      </c>
    </row>
    <row r="130" spans="1:5" x14ac:dyDescent="0.3">
      <c r="A130" t="s">
        <v>312</v>
      </c>
      <c r="B130">
        <v>2015</v>
      </c>
      <c r="C130">
        <v>108.2</v>
      </c>
      <c r="D130">
        <f>VLOOKUP(表1_[[#This Row],[地区]],Sheet2!A:B,2,0)</f>
        <v>350000</v>
      </c>
      <c r="E130">
        <f>表1_[[#This Row],[年份]]+表1_[[#This Row],[行政区域]]</f>
        <v>352015</v>
      </c>
    </row>
    <row r="131" spans="1:5" x14ac:dyDescent="0.3">
      <c r="A131" t="s">
        <v>312</v>
      </c>
      <c r="B131">
        <v>2014</v>
      </c>
      <c r="C131">
        <v>112.37</v>
      </c>
      <c r="D131">
        <f>VLOOKUP(表1_[[#This Row],[地区]],Sheet2!A:B,2,0)</f>
        <v>350000</v>
      </c>
      <c r="E131">
        <f>表1_[[#This Row],[年份]]+表1_[[#This Row],[行政区域]]</f>
        <v>352014</v>
      </c>
    </row>
    <row r="132" spans="1:5" x14ac:dyDescent="0.3">
      <c r="A132" t="s">
        <v>313</v>
      </c>
      <c r="B132">
        <v>2023</v>
      </c>
      <c r="C132">
        <v>107.44</v>
      </c>
      <c r="D132">
        <f>VLOOKUP(表1_[[#This Row],[地区]],Sheet2!A:B,2,0)</f>
        <v>360000</v>
      </c>
      <c r="E132">
        <f>表1_[[#This Row],[年份]]+表1_[[#This Row],[行政区域]]</f>
        <v>362023</v>
      </c>
    </row>
    <row r="133" spans="1:5" x14ac:dyDescent="0.3">
      <c r="A133" t="s">
        <v>313</v>
      </c>
      <c r="B133">
        <v>2022</v>
      </c>
      <c r="C133">
        <v>103.68</v>
      </c>
      <c r="D133">
        <f>VLOOKUP(表1_[[#This Row],[地区]],Sheet2!A:B,2,0)</f>
        <v>360000</v>
      </c>
      <c r="E133">
        <f>表1_[[#This Row],[年份]]+表1_[[#This Row],[行政区域]]</f>
        <v>362022</v>
      </c>
    </row>
    <row r="134" spans="1:5" x14ac:dyDescent="0.3">
      <c r="A134" t="s">
        <v>313</v>
      </c>
      <c r="B134">
        <v>2021</v>
      </c>
      <c r="C134">
        <v>99.54</v>
      </c>
      <c r="D134">
        <f>VLOOKUP(表1_[[#This Row],[地区]],Sheet2!A:B,2,0)</f>
        <v>360000</v>
      </c>
      <c r="E134">
        <f>表1_[[#This Row],[年份]]+表1_[[#This Row],[行政区域]]</f>
        <v>362021</v>
      </c>
    </row>
    <row r="135" spans="1:5" x14ac:dyDescent="0.3">
      <c r="A135" t="s">
        <v>313</v>
      </c>
      <c r="B135">
        <v>2020</v>
      </c>
      <c r="C135">
        <v>94.04</v>
      </c>
      <c r="D135">
        <f>VLOOKUP(表1_[[#This Row],[地区]],Sheet2!A:B,2,0)</f>
        <v>360000</v>
      </c>
      <c r="E135">
        <f>表1_[[#This Row],[年份]]+表1_[[#This Row],[行政区域]]</f>
        <v>362020</v>
      </c>
    </row>
    <row r="136" spans="1:5" x14ac:dyDescent="0.3">
      <c r="A136" t="s">
        <v>313</v>
      </c>
      <c r="B136">
        <v>2019</v>
      </c>
      <c r="C136">
        <v>89.09</v>
      </c>
      <c r="D136">
        <f>VLOOKUP(表1_[[#This Row],[地区]],Sheet2!A:B,2,0)</f>
        <v>360000</v>
      </c>
      <c r="E136">
        <f>表1_[[#This Row],[年份]]+表1_[[#This Row],[行政区域]]</f>
        <v>362019</v>
      </c>
    </row>
    <row r="137" spans="1:5" x14ac:dyDescent="0.3">
      <c r="A137" t="s">
        <v>313</v>
      </c>
      <c r="B137">
        <v>2018</v>
      </c>
      <c r="C137">
        <v>87</v>
      </c>
      <c r="D137">
        <f>VLOOKUP(表1_[[#This Row],[地区]],Sheet2!A:B,2,0)</f>
        <v>360000</v>
      </c>
      <c r="E137">
        <f>表1_[[#This Row],[年份]]+表1_[[#This Row],[行政区域]]</f>
        <v>362018</v>
      </c>
    </row>
    <row r="138" spans="1:5" x14ac:dyDescent="0.3">
      <c r="A138" t="s">
        <v>313</v>
      </c>
      <c r="B138">
        <v>2017</v>
      </c>
      <c r="C138">
        <v>74.62</v>
      </c>
      <c r="D138">
        <f>VLOOKUP(表1_[[#This Row],[地区]],Sheet2!A:B,2,0)</f>
        <v>360000</v>
      </c>
      <c r="E138">
        <f>表1_[[#This Row],[年份]]+表1_[[#This Row],[行政区域]]</f>
        <v>362017</v>
      </c>
    </row>
    <row r="139" spans="1:5" x14ac:dyDescent="0.3">
      <c r="A139" t="s">
        <v>313</v>
      </c>
      <c r="B139">
        <v>2016</v>
      </c>
      <c r="C139">
        <v>68.39</v>
      </c>
      <c r="D139">
        <f>VLOOKUP(表1_[[#This Row],[地区]],Sheet2!A:B,2,0)</f>
        <v>360000</v>
      </c>
      <c r="E139">
        <f>表1_[[#This Row],[年份]]+表1_[[#This Row],[行政区域]]</f>
        <v>362016</v>
      </c>
    </row>
    <row r="140" spans="1:5" x14ac:dyDescent="0.3">
      <c r="A140" t="s">
        <v>313</v>
      </c>
      <c r="B140">
        <v>2015</v>
      </c>
      <c r="C140">
        <v>66.37</v>
      </c>
      <c r="D140">
        <f>VLOOKUP(表1_[[#This Row],[地区]],Sheet2!A:B,2,0)</f>
        <v>360000</v>
      </c>
      <c r="E140">
        <f>表1_[[#This Row],[年份]]+表1_[[#This Row],[行政区域]]</f>
        <v>362015</v>
      </c>
    </row>
    <row r="141" spans="1:5" x14ac:dyDescent="0.3">
      <c r="A141" t="s">
        <v>313</v>
      </c>
      <c r="B141">
        <v>2014</v>
      </c>
      <c r="C141">
        <v>64.69</v>
      </c>
      <c r="D141">
        <f>VLOOKUP(表1_[[#This Row],[地区]],Sheet2!A:B,2,0)</f>
        <v>360000</v>
      </c>
      <c r="E141">
        <f>表1_[[#This Row],[年份]]+表1_[[#This Row],[行政区域]]</f>
        <v>362014</v>
      </c>
    </row>
    <row r="142" spans="1:5" x14ac:dyDescent="0.3">
      <c r="A142" t="s">
        <v>314</v>
      </c>
      <c r="B142">
        <v>2023</v>
      </c>
      <c r="C142">
        <v>119.92</v>
      </c>
      <c r="D142">
        <f>VLOOKUP(表1_[[#This Row],[地区]],Sheet2!A:B,2,0)</f>
        <v>370000</v>
      </c>
      <c r="E142">
        <f>表1_[[#This Row],[年份]]+表1_[[#This Row],[行政区域]]</f>
        <v>372023</v>
      </c>
    </row>
    <row r="143" spans="1:5" x14ac:dyDescent="0.3">
      <c r="A143" t="s">
        <v>314</v>
      </c>
      <c r="B143">
        <v>2022</v>
      </c>
      <c r="C143">
        <v>115.13</v>
      </c>
      <c r="D143">
        <f>VLOOKUP(表1_[[#This Row],[地区]],Sheet2!A:B,2,0)</f>
        <v>370000</v>
      </c>
      <c r="E143">
        <f>表1_[[#This Row],[年份]]+表1_[[#This Row],[行政区域]]</f>
        <v>372022</v>
      </c>
    </row>
    <row r="144" spans="1:5" x14ac:dyDescent="0.3">
      <c r="A144" t="s">
        <v>314</v>
      </c>
      <c r="B144">
        <v>2021</v>
      </c>
      <c r="C144">
        <v>110.6</v>
      </c>
      <c r="D144">
        <f>VLOOKUP(表1_[[#This Row],[地区]],Sheet2!A:B,2,0)</f>
        <v>370000</v>
      </c>
      <c r="E144">
        <f>表1_[[#This Row],[年份]]+表1_[[#This Row],[行政区域]]</f>
        <v>372021</v>
      </c>
    </row>
    <row r="145" spans="1:5" x14ac:dyDescent="0.3">
      <c r="A145" t="s">
        <v>314</v>
      </c>
      <c r="B145">
        <v>2020</v>
      </c>
      <c r="C145">
        <v>107.43</v>
      </c>
      <c r="D145">
        <f>VLOOKUP(表1_[[#This Row],[地区]],Sheet2!A:B,2,0)</f>
        <v>370000</v>
      </c>
      <c r="E145">
        <f>表1_[[#This Row],[年份]]+表1_[[#This Row],[行政区域]]</f>
        <v>372020</v>
      </c>
    </row>
    <row r="146" spans="1:5" x14ac:dyDescent="0.3">
      <c r="A146" t="s">
        <v>314</v>
      </c>
      <c r="B146">
        <v>2019</v>
      </c>
      <c r="C146">
        <v>107.1</v>
      </c>
      <c r="D146">
        <f>VLOOKUP(表1_[[#This Row],[地区]],Sheet2!A:B,2,0)</f>
        <v>370000</v>
      </c>
      <c r="E146">
        <f>表1_[[#This Row],[年份]]+表1_[[#This Row],[行政区域]]</f>
        <v>372019</v>
      </c>
    </row>
    <row r="147" spans="1:5" x14ac:dyDescent="0.3">
      <c r="A147" t="s">
        <v>314</v>
      </c>
      <c r="B147">
        <v>2018</v>
      </c>
      <c r="C147">
        <v>105.2</v>
      </c>
      <c r="D147">
        <f>VLOOKUP(表1_[[#This Row],[地区]],Sheet2!A:B,2,0)</f>
        <v>370000</v>
      </c>
      <c r="E147">
        <f>表1_[[#This Row],[年份]]+表1_[[#This Row],[行政区域]]</f>
        <v>372018</v>
      </c>
    </row>
    <row r="148" spans="1:5" x14ac:dyDescent="0.3">
      <c r="A148" t="s">
        <v>314</v>
      </c>
      <c r="B148">
        <v>2017</v>
      </c>
      <c r="C148">
        <v>99.38</v>
      </c>
      <c r="D148">
        <f>VLOOKUP(表1_[[#This Row],[地区]],Sheet2!A:B,2,0)</f>
        <v>370000</v>
      </c>
      <c r="E148">
        <f>表1_[[#This Row],[年份]]+表1_[[#This Row],[行政区域]]</f>
        <v>372017</v>
      </c>
    </row>
    <row r="149" spans="1:5" x14ac:dyDescent="0.3">
      <c r="A149" t="s">
        <v>314</v>
      </c>
      <c r="B149">
        <v>2016</v>
      </c>
      <c r="C149">
        <v>96.46</v>
      </c>
      <c r="D149">
        <f>VLOOKUP(表1_[[#This Row],[地区]],Sheet2!A:B,2,0)</f>
        <v>370000</v>
      </c>
      <c r="E149">
        <f>表1_[[#This Row],[年份]]+表1_[[#This Row],[行政区域]]</f>
        <v>372016</v>
      </c>
    </row>
    <row r="150" spans="1:5" x14ac:dyDescent="0.3">
      <c r="A150" t="s">
        <v>314</v>
      </c>
      <c r="B150">
        <v>2015</v>
      </c>
      <c r="C150">
        <v>92.3</v>
      </c>
      <c r="D150">
        <f>VLOOKUP(表1_[[#This Row],[地区]],Sheet2!A:B,2,0)</f>
        <v>370000</v>
      </c>
      <c r="E150">
        <f>表1_[[#This Row],[年份]]+表1_[[#This Row],[行政区域]]</f>
        <v>372015</v>
      </c>
    </row>
    <row r="151" spans="1:5" x14ac:dyDescent="0.3">
      <c r="A151" t="s">
        <v>314</v>
      </c>
      <c r="B151">
        <v>2014</v>
      </c>
      <c r="C151">
        <v>88.5</v>
      </c>
      <c r="D151">
        <f>VLOOKUP(表1_[[#This Row],[地区]],Sheet2!A:B,2,0)</f>
        <v>370000</v>
      </c>
      <c r="E151">
        <f>表1_[[#This Row],[年份]]+表1_[[#This Row],[行政区域]]</f>
        <v>372014</v>
      </c>
    </row>
    <row r="152" spans="1:5" x14ac:dyDescent="0.3">
      <c r="A152" t="s">
        <v>315</v>
      </c>
      <c r="B152">
        <v>2023</v>
      </c>
      <c r="C152">
        <v>111.38</v>
      </c>
      <c r="D152">
        <f>VLOOKUP(表1_[[#This Row],[地区]],Sheet2!A:B,2,0)</f>
        <v>410000</v>
      </c>
      <c r="E152">
        <f>表1_[[#This Row],[年份]]+表1_[[#This Row],[行政区域]]</f>
        <v>412023</v>
      </c>
    </row>
    <row r="153" spans="1:5" x14ac:dyDescent="0.3">
      <c r="A153" t="s">
        <v>315</v>
      </c>
      <c r="B153">
        <v>2022</v>
      </c>
      <c r="C153">
        <v>107.81</v>
      </c>
      <c r="D153">
        <f>VLOOKUP(表1_[[#This Row],[地区]],Sheet2!A:B,2,0)</f>
        <v>410000</v>
      </c>
      <c r="E153">
        <f>表1_[[#This Row],[年份]]+表1_[[#This Row],[行政区域]]</f>
        <v>412022</v>
      </c>
    </row>
    <row r="154" spans="1:5" x14ac:dyDescent="0.3">
      <c r="A154" t="s">
        <v>315</v>
      </c>
      <c r="B154">
        <v>2021</v>
      </c>
      <c r="C154">
        <v>104.75</v>
      </c>
      <c r="D154">
        <f>VLOOKUP(表1_[[#This Row],[地区]],Sheet2!A:B,2,0)</f>
        <v>410000</v>
      </c>
      <c r="E154">
        <f>表1_[[#This Row],[年份]]+表1_[[#This Row],[行政区域]]</f>
        <v>412021</v>
      </c>
    </row>
    <row r="155" spans="1:5" x14ac:dyDescent="0.3">
      <c r="A155" t="s">
        <v>315</v>
      </c>
      <c r="B155">
        <v>2020</v>
      </c>
      <c r="C155">
        <v>101.16</v>
      </c>
      <c r="D155">
        <f>VLOOKUP(表1_[[#This Row],[地区]],Sheet2!A:B,2,0)</f>
        <v>410000</v>
      </c>
      <c r="E155">
        <f>表1_[[#This Row],[年份]]+表1_[[#This Row],[行政区域]]</f>
        <v>412020</v>
      </c>
    </row>
    <row r="156" spans="1:5" x14ac:dyDescent="0.3">
      <c r="A156" t="s">
        <v>315</v>
      </c>
      <c r="B156">
        <v>2019</v>
      </c>
      <c r="C156">
        <v>102.09</v>
      </c>
      <c r="D156">
        <f>VLOOKUP(表1_[[#This Row],[地区]],Sheet2!A:B,2,0)</f>
        <v>410000</v>
      </c>
      <c r="E156">
        <f>表1_[[#This Row],[年份]]+表1_[[#This Row],[行政区域]]</f>
        <v>412019</v>
      </c>
    </row>
    <row r="157" spans="1:5" x14ac:dyDescent="0.3">
      <c r="A157" t="s">
        <v>315</v>
      </c>
      <c r="B157">
        <v>2018</v>
      </c>
      <c r="C157">
        <v>97.39</v>
      </c>
      <c r="D157">
        <f>VLOOKUP(表1_[[#This Row],[地区]],Sheet2!A:B,2,0)</f>
        <v>410000</v>
      </c>
      <c r="E157">
        <f>表1_[[#This Row],[年份]]+表1_[[#This Row],[行政区域]]</f>
        <v>412018</v>
      </c>
    </row>
    <row r="158" spans="1:5" x14ac:dyDescent="0.3">
      <c r="A158" t="s">
        <v>315</v>
      </c>
      <c r="B158">
        <v>2017</v>
      </c>
      <c r="C158">
        <v>89.48</v>
      </c>
      <c r="D158">
        <f>VLOOKUP(表1_[[#This Row],[地区]],Sheet2!A:B,2,0)</f>
        <v>410000</v>
      </c>
      <c r="E158">
        <f>表1_[[#This Row],[年份]]+表1_[[#This Row],[行政区域]]</f>
        <v>412017</v>
      </c>
    </row>
    <row r="159" spans="1:5" x14ac:dyDescent="0.3">
      <c r="A159" t="s">
        <v>315</v>
      </c>
      <c r="B159">
        <v>2016</v>
      </c>
      <c r="C159">
        <v>82.76</v>
      </c>
      <c r="D159">
        <f>VLOOKUP(表1_[[#This Row],[地区]],Sheet2!A:B,2,0)</f>
        <v>410000</v>
      </c>
      <c r="E159">
        <f>表1_[[#This Row],[年份]]+表1_[[#This Row],[行政区域]]</f>
        <v>412016</v>
      </c>
    </row>
    <row r="160" spans="1:5" x14ac:dyDescent="0.3">
      <c r="A160" t="s">
        <v>315</v>
      </c>
      <c r="B160">
        <v>2015</v>
      </c>
      <c r="C160">
        <v>79.510000000000005</v>
      </c>
      <c r="D160">
        <f>VLOOKUP(表1_[[#This Row],[地区]],Sheet2!A:B,2,0)</f>
        <v>410000</v>
      </c>
      <c r="E160">
        <f>表1_[[#This Row],[年份]]+表1_[[#This Row],[行政区域]]</f>
        <v>412015</v>
      </c>
    </row>
    <row r="161" spans="1:5" x14ac:dyDescent="0.3">
      <c r="A161" t="s">
        <v>315</v>
      </c>
      <c r="B161">
        <v>2014</v>
      </c>
      <c r="C161">
        <v>81.739999999999995</v>
      </c>
      <c r="D161">
        <f>VLOOKUP(表1_[[#This Row],[地区]],Sheet2!A:B,2,0)</f>
        <v>410000</v>
      </c>
      <c r="E161">
        <f>表1_[[#This Row],[年份]]+表1_[[#This Row],[行政区域]]</f>
        <v>412014</v>
      </c>
    </row>
    <row r="162" spans="1:5" x14ac:dyDescent="0.3">
      <c r="A162" t="s">
        <v>316</v>
      </c>
      <c r="B162">
        <v>2023</v>
      </c>
      <c r="C162">
        <v>108.26</v>
      </c>
      <c r="D162">
        <f>VLOOKUP(表1_[[#This Row],[地区]],Sheet2!A:B,2,0)</f>
        <v>420000</v>
      </c>
      <c r="E162">
        <f>表1_[[#This Row],[年份]]+表1_[[#This Row],[行政区域]]</f>
        <v>422023</v>
      </c>
    </row>
    <row r="163" spans="1:5" x14ac:dyDescent="0.3">
      <c r="A163" t="s">
        <v>316</v>
      </c>
      <c r="B163">
        <v>2022</v>
      </c>
      <c r="C163">
        <v>103.63</v>
      </c>
      <c r="D163">
        <f>VLOOKUP(表1_[[#This Row],[地区]],Sheet2!A:B,2,0)</f>
        <v>420000</v>
      </c>
      <c r="E163">
        <f>表1_[[#This Row],[年份]]+表1_[[#This Row],[行政区域]]</f>
        <v>422022</v>
      </c>
    </row>
    <row r="164" spans="1:5" x14ac:dyDescent="0.3">
      <c r="A164" t="s">
        <v>316</v>
      </c>
      <c r="B164">
        <v>2021</v>
      </c>
      <c r="C164">
        <v>100.7</v>
      </c>
      <c r="D164">
        <f>VLOOKUP(表1_[[#This Row],[地区]],Sheet2!A:B,2,0)</f>
        <v>420000</v>
      </c>
      <c r="E164">
        <f>表1_[[#This Row],[年份]]+表1_[[#This Row],[行政区域]]</f>
        <v>422021</v>
      </c>
    </row>
    <row r="165" spans="1:5" x14ac:dyDescent="0.3">
      <c r="A165" t="s">
        <v>316</v>
      </c>
      <c r="B165">
        <v>2020</v>
      </c>
      <c r="C165">
        <v>98.37</v>
      </c>
      <c r="D165">
        <f>VLOOKUP(表1_[[#This Row],[地区]],Sheet2!A:B,2,0)</f>
        <v>420000</v>
      </c>
      <c r="E165">
        <f>表1_[[#This Row],[年份]]+表1_[[#This Row],[行政区域]]</f>
        <v>422020</v>
      </c>
    </row>
    <row r="166" spans="1:5" x14ac:dyDescent="0.3">
      <c r="A166" t="s">
        <v>316</v>
      </c>
      <c r="B166">
        <v>2019</v>
      </c>
      <c r="C166">
        <v>95.97</v>
      </c>
      <c r="D166">
        <f>VLOOKUP(表1_[[#This Row],[地区]],Sheet2!A:B,2,0)</f>
        <v>420000</v>
      </c>
      <c r="E166">
        <f>表1_[[#This Row],[年份]]+表1_[[#This Row],[行政区域]]</f>
        <v>422019</v>
      </c>
    </row>
    <row r="167" spans="1:5" x14ac:dyDescent="0.3">
      <c r="A167" t="s">
        <v>316</v>
      </c>
      <c r="B167">
        <v>2018</v>
      </c>
      <c r="C167">
        <v>94.13</v>
      </c>
      <c r="D167">
        <f>VLOOKUP(表1_[[#This Row],[地区]],Sheet2!A:B,2,0)</f>
        <v>420000</v>
      </c>
      <c r="E167">
        <f>表1_[[#This Row],[年份]]+表1_[[#This Row],[行政区域]]</f>
        <v>422018</v>
      </c>
    </row>
    <row r="168" spans="1:5" x14ac:dyDescent="0.3">
      <c r="A168" t="s">
        <v>316</v>
      </c>
      <c r="B168">
        <v>2017</v>
      </c>
      <c r="C168">
        <v>84.62</v>
      </c>
      <c r="D168">
        <f>VLOOKUP(表1_[[#This Row],[地区]],Sheet2!A:B,2,0)</f>
        <v>420000</v>
      </c>
      <c r="E168">
        <f>表1_[[#This Row],[年份]]+表1_[[#This Row],[行政区域]]</f>
        <v>422017</v>
      </c>
    </row>
    <row r="169" spans="1:5" x14ac:dyDescent="0.3">
      <c r="A169" t="s">
        <v>316</v>
      </c>
      <c r="B169">
        <v>2016</v>
      </c>
      <c r="C169">
        <v>79.59</v>
      </c>
      <c r="D169">
        <f>VLOOKUP(表1_[[#This Row],[地区]],Sheet2!A:B,2,0)</f>
        <v>420000</v>
      </c>
      <c r="E169">
        <f>表1_[[#This Row],[年份]]+表1_[[#This Row],[行政区域]]</f>
        <v>422016</v>
      </c>
    </row>
    <row r="170" spans="1:5" x14ac:dyDescent="0.3">
      <c r="A170" t="s">
        <v>316</v>
      </c>
      <c r="B170">
        <v>2015</v>
      </c>
      <c r="C170">
        <v>77.42</v>
      </c>
      <c r="D170">
        <f>VLOOKUP(表1_[[#This Row],[地区]],Sheet2!A:B,2,0)</f>
        <v>420000</v>
      </c>
      <c r="E170">
        <f>表1_[[#This Row],[年份]]+表1_[[#This Row],[行政区域]]</f>
        <v>422015</v>
      </c>
    </row>
    <row r="171" spans="1:5" x14ac:dyDescent="0.3">
      <c r="A171" t="s">
        <v>316</v>
      </c>
      <c r="B171">
        <v>2014</v>
      </c>
      <c r="C171">
        <v>79.209999999999994</v>
      </c>
      <c r="D171">
        <f>VLOOKUP(表1_[[#This Row],[地区]],Sheet2!A:B,2,0)</f>
        <v>420000</v>
      </c>
      <c r="E171">
        <f>表1_[[#This Row],[年份]]+表1_[[#This Row],[行政区域]]</f>
        <v>422014</v>
      </c>
    </row>
    <row r="172" spans="1:5" x14ac:dyDescent="0.3">
      <c r="A172" t="s">
        <v>317</v>
      </c>
      <c r="B172">
        <v>2023</v>
      </c>
      <c r="C172">
        <v>117.72</v>
      </c>
      <c r="D172">
        <f>VLOOKUP(表1_[[#This Row],[地区]],Sheet2!A:B,2,0)</f>
        <v>430000</v>
      </c>
      <c r="E172">
        <f>表1_[[#This Row],[年份]]+表1_[[#This Row],[行政区域]]</f>
        <v>432023</v>
      </c>
    </row>
    <row r="173" spans="1:5" x14ac:dyDescent="0.3">
      <c r="A173" t="s">
        <v>317</v>
      </c>
      <c r="B173">
        <v>2022</v>
      </c>
      <c r="C173">
        <v>108.73</v>
      </c>
      <c r="D173">
        <f>VLOOKUP(表1_[[#This Row],[地区]],Sheet2!A:B,2,0)</f>
        <v>430000</v>
      </c>
      <c r="E173">
        <f>表1_[[#This Row],[年份]]+表1_[[#This Row],[行政区域]]</f>
        <v>432022</v>
      </c>
    </row>
    <row r="174" spans="1:5" x14ac:dyDescent="0.3">
      <c r="A174" t="s">
        <v>317</v>
      </c>
      <c r="B174">
        <v>2021</v>
      </c>
      <c r="C174">
        <v>104.84</v>
      </c>
      <c r="D174">
        <f>VLOOKUP(表1_[[#This Row],[地区]],Sheet2!A:B,2,0)</f>
        <v>430000</v>
      </c>
      <c r="E174">
        <f>表1_[[#This Row],[年份]]+表1_[[#This Row],[行政区域]]</f>
        <v>432021</v>
      </c>
    </row>
    <row r="175" spans="1:5" x14ac:dyDescent="0.3">
      <c r="A175" t="s">
        <v>317</v>
      </c>
      <c r="B175">
        <v>2020</v>
      </c>
      <c r="C175">
        <v>101.13</v>
      </c>
      <c r="D175">
        <f>VLOOKUP(表1_[[#This Row],[地区]],Sheet2!A:B,2,0)</f>
        <v>430000</v>
      </c>
      <c r="E175">
        <f>表1_[[#This Row],[年份]]+表1_[[#This Row],[行政区域]]</f>
        <v>432020</v>
      </c>
    </row>
    <row r="176" spans="1:5" x14ac:dyDescent="0.3">
      <c r="A176" t="s">
        <v>317</v>
      </c>
      <c r="B176">
        <v>2019</v>
      </c>
      <c r="C176">
        <v>96.09</v>
      </c>
      <c r="D176">
        <f>VLOOKUP(表1_[[#This Row],[地区]],Sheet2!A:B,2,0)</f>
        <v>430000</v>
      </c>
      <c r="E176">
        <f>表1_[[#This Row],[年份]]+表1_[[#This Row],[行政区域]]</f>
        <v>432019</v>
      </c>
    </row>
    <row r="177" spans="1:5" x14ac:dyDescent="0.3">
      <c r="A177" t="s">
        <v>317</v>
      </c>
      <c r="B177">
        <v>2018</v>
      </c>
      <c r="C177">
        <v>91.36</v>
      </c>
      <c r="D177">
        <f>VLOOKUP(表1_[[#This Row],[地区]],Sheet2!A:B,2,0)</f>
        <v>430000</v>
      </c>
      <c r="E177">
        <f>表1_[[#This Row],[年份]]+表1_[[#This Row],[行政区域]]</f>
        <v>432018</v>
      </c>
    </row>
    <row r="178" spans="1:5" x14ac:dyDescent="0.3">
      <c r="A178" t="s">
        <v>317</v>
      </c>
      <c r="B178">
        <v>2017</v>
      </c>
      <c r="C178">
        <v>82.85</v>
      </c>
      <c r="D178">
        <f>VLOOKUP(表1_[[#This Row],[地区]],Sheet2!A:B,2,0)</f>
        <v>430000</v>
      </c>
      <c r="E178">
        <f>表1_[[#This Row],[年份]]+表1_[[#This Row],[行政区域]]</f>
        <v>432017</v>
      </c>
    </row>
    <row r="179" spans="1:5" x14ac:dyDescent="0.3">
      <c r="A179" t="s">
        <v>317</v>
      </c>
      <c r="B179">
        <v>2016</v>
      </c>
      <c r="C179">
        <v>73.2</v>
      </c>
      <c r="D179">
        <f>VLOOKUP(表1_[[#This Row],[地区]],Sheet2!A:B,2,0)</f>
        <v>430000</v>
      </c>
      <c r="E179">
        <f>表1_[[#This Row],[年份]]+表1_[[#This Row],[行政区域]]</f>
        <v>432016</v>
      </c>
    </row>
    <row r="180" spans="1:5" x14ac:dyDescent="0.3">
      <c r="A180" t="s">
        <v>317</v>
      </c>
      <c r="B180">
        <v>2015</v>
      </c>
      <c r="C180">
        <v>69.17</v>
      </c>
      <c r="D180">
        <f>VLOOKUP(表1_[[#This Row],[地区]],Sheet2!A:B,2,0)</f>
        <v>430000</v>
      </c>
      <c r="E180">
        <f>表1_[[#This Row],[年份]]+表1_[[#This Row],[行政区域]]</f>
        <v>432015</v>
      </c>
    </row>
    <row r="181" spans="1:5" x14ac:dyDescent="0.3">
      <c r="A181" t="s">
        <v>317</v>
      </c>
      <c r="B181">
        <v>2014</v>
      </c>
      <c r="C181">
        <v>70.150000000000006</v>
      </c>
      <c r="D181">
        <f>VLOOKUP(表1_[[#This Row],[地区]],Sheet2!A:B,2,0)</f>
        <v>430000</v>
      </c>
      <c r="E181">
        <f>表1_[[#This Row],[年份]]+表1_[[#This Row],[行政区域]]</f>
        <v>432014</v>
      </c>
    </row>
    <row r="182" spans="1:5" x14ac:dyDescent="0.3">
      <c r="A182" t="s">
        <v>318</v>
      </c>
      <c r="B182">
        <v>2023</v>
      </c>
      <c r="C182">
        <v>135.66</v>
      </c>
      <c r="D182">
        <f>VLOOKUP(表1_[[#This Row],[地区]],Sheet2!A:B,2,0)</f>
        <v>440000</v>
      </c>
      <c r="E182">
        <f>表1_[[#This Row],[年份]]+表1_[[#This Row],[行政区域]]</f>
        <v>442023</v>
      </c>
    </row>
    <row r="183" spans="1:5" x14ac:dyDescent="0.3">
      <c r="A183" t="s">
        <v>318</v>
      </c>
      <c r="B183">
        <v>2022</v>
      </c>
      <c r="C183">
        <v>131.56</v>
      </c>
      <c r="D183">
        <f>VLOOKUP(表1_[[#This Row],[地区]],Sheet2!A:B,2,0)</f>
        <v>440000</v>
      </c>
      <c r="E183">
        <f>表1_[[#This Row],[年份]]+表1_[[#This Row],[行政区域]]</f>
        <v>442022</v>
      </c>
    </row>
    <row r="184" spans="1:5" x14ac:dyDescent="0.3">
      <c r="A184" t="s">
        <v>318</v>
      </c>
      <c r="B184">
        <v>2021</v>
      </c>
      <c r="C184">
        <v>128.25</v>
      </c>
      <c r="D184">
        <f>VLOOKUP(表1_[[#This Row],[地区]],Sheet2!A:B,2,0)</f>
        <v>440000</v>
      </c>
      <c r="E184">
        <f>表1_[[#This Row],[年份]]+表1_[[#This Row],[行政区域]]</f>
        <v>442021</v>
      </c>
    </row>
    <row r="185" spans="1:5" x14ac:dyDescent="0.3">
      <c r="A185" t="s">
        <v>318</v>
      </c>
      <c r="B185">
        <v>2020</v>
      </c>
      <c r="C185">
        <v>123.3</v>
      </c>
      <c r="D185">
        <f>VLOOKUP(表1_[[#This Row],[地区]],Sheet2!A:B,2,0)</f>
        <v>440000</v>
      </c>
      <c r="E185">
        <f>表1_[[#This Row],[年份]]+表1_[[#This Row],[行政区域]]</f>
        <v>442020</v>
      </c>
    </row>
    <row r="186" spans="1:5" x14ac:dyDescent="0.3">
      <c r="A186" t="s">
        <v>318</v>
      </c>
      <c r="B186">
        <v>2019</v>
      </c>
      <c r="C186">
        <v>143.5</v>
      </c>
      <c r="D186">
        <f>VLOOKUP(表1_[[#This Row],[地区]],Sheet2!A:B,2,0)</f>
        <v>440000</v>
      </c>
      <c r="E186">
        <f>表1_[[#This Row],[年份]]+表1_[[#This Row],[行政区域]]</f>
        <v>442019</v>
      </c>
    </row>
    <row r="187" spans="1:5" x14ac:dyDescent="0.3">
      <c r="A187" t="s">
        <v>318</v>
      </c>
      <c r="B187">
        <v>2018</v>
      </c>
      <c r="C187">
        <v>148.27000000000001</v>
      </c>
      <c r="D187">
        <f>VLOOKUP(表1_[[#This Row],[地区]],Sheet2!A:B,2,0)</f>
        <v>440000</v>
      </c>
      <c r="E187">
        <f>表1_[[#This Row],[年份]]+表1_[[#This Row],[行政区域]]</f>
        <v>442018</v>
      </c>
    </row>
    <row r="188" spans="1:5" x14ac:dyDescent="0.3">
      <c r="A188" t="s">
        <v>318</v>
      </c>
      <c r="B188">
        <v>2017</v>
      </c>
      <c r="C188">
        <v>132.47999999999999</v>
      </c>
      <c r="D188">
        <f>VLOOKUP(表1_[[#This Row],[地区]],Sheet2!A:B,2,0)</f>
        <v>440000</v>
      </c>
      <c r="E188">
        <f>表1_[[#This Row],[年份]]+表1_[[#This Row],[行政区域]]</f>
        <v>442017</v>
      </c>
    </row>
    <row r="189" spans="1:5" x14ac:dyDescent="0.3">
      <c r="A189" t="s">
        <v>318</v>
      </c>
      <c r="B189">
        <v>2016</v>
      </c>
      <c r="C189">
        <v>130.46</v>
      </c>
      <c r="D189">
        <f>VLOOKUP(表1_[[#This Row],[地区]],Sheet2!A:B,2,0)</f>
        <v>440000</v>
      </c>
      <c r="E189">
        <f>表1_[[#This Row],[年份]]+表1_[[#This Row],[行政区域]]</f>
        <v>442016</v>
      </c>
    </row>
    <row r="190" spans="1:5" x14ac:dyDescent="0.3">
      <c r="A190" t="s">
        <v>318</v>
      </c>
      <c r="B190">
        <v>2015</v>
      </c>
      <c r="C190">
        <v>133.47</v>
      </c>
      <c r="D190">
        <f>VLOOKUP(表1_[[#This Row],[地区]],Sheet2!A:B,2,0)</f>
        <v>440000</v>
      </c>
      <c r="E190">
        <f>表1_[[#This Row],[年份]]+表1_[[#This Row],[行政区域]]</f>
        <v>442015</v>
      </c>
    </row>
    <row r="191" spans="1:5" x14ac:dyDescent="0.3">
      <c r="A191" t="s">
        <v>318</v>
      </c>
      <c r="B191">
        <v>2014</v>
      </c>
      <c r="C191">
        <v>139.35</v>
      </c>
      <c r="D191">
        <f>VLOOKUP(表1_[[#This Row],[地区]],Sheet2!A:B,2,0)</f>
        <v>440000</v>
      </c>
      <c r="E191">
        <f>表1_[[#This Row],[年份]]+表1_[[#This Row],[行政区域]]</f>
        <v>442014</v>
      </c>
    </row>
    <row r="192" spans="1:5" x14ac:dyDescent="0.3">
      <c r="A192" t="s">
        <v>319</v>
      </c>
      <c r="B192">
        <v>2023</v>
      </c>
      <c r="C192">
        <v>121.78</v>
      </c>
      <c r="D192">
        <f>VLOOKUP(表1_[[#This Row],[地区]],Sheet2!A:B,2,0)</f>
        <v>450000</v>
      </c>
      <c r="E192">
        <f>表1_[[#This Row],[年份]]+表1_[[#This Row],[行政区域]]</f>
        <v>452023</v>
      </c>
    </row>
    <row r="193" spans="1:5" x14ac:dyDescent="0.3">
      <c r="A193" t="s">
        <v>319</v>
      </c>
      <c r="B193">
        <v>2022</v>
      </c>
      <c r="C193">
        <v>115.02</v>
      </c>
      <c r="D193">
        <f>VLOOKUP(表1_[[#This Row],[地区]],Sheet2!A:B,2,0)</f>
        <v>450000</v>
      </c>
      <c r="E193">
        <f>表1_[[#This Row],[年份]]+表1_[[#This Row],[行政区域]]</f>
        <v>452022</v>
      </c>
    </row>
    <row r="194" spans="1:5" x14ac:dyDescent="0.3">
      <c r="A194" t="s">
        <v>319</v>
      </c>
      <c r="B194">
        <v>2021</v>
      </c>
      <c r="C194">
        <v>109.42</v>
      </c>
      <c r="D194">
        <f>VLOOKUP(表1_[[#This Row],[地区]],Sheet2!A:B,2,0)</f>
        <v>450000</v>
      </c>
      <c r="E194">
        <f>表1_[[#This Row],[年份]]+表1_[[#This Row],[行政区域]]</f>
        <v>452021</v>
      </c>
    </row>
    <row r="195" spans="1:5" x14ac:dyDescent="0.3">
      <c r="A195" t="s">
        <v>319</v>
      </c>
      <c r="B195">
        <v>2020</v>
      </c>
      <c r="C195">
        <v>106.39</v>
      </c>
      <c r="D195">
        <f>VLOOKUP(表1_[[#This Row],[地区]],Sheet2!A:B,2,0)</f>
        <v>450000</v>
      </c>
      <c r="E195">
        <f>表1_[[#This Row],[年份]]+表1_[[#This Row],[行政区域]]</f>
        <v>452020</v>
      </c>
    </row>
    <row r="196" spans="1:5" x14ac:dyDescent="0.3">
      <c r="A196" t="s">
        <v>319</v>
      </c>
      <c r="B196">
        <v>2019</v>
      </c>
      <c r="C196">
        <v>103.38</v>
      </c>
      <c r="D196">
        <f>VLOOKUP(表1_[[#This Row],[地区]],Sheet2!A:B,2,0)</f>
        <v>450000</v>
      </c>
      <c r="E196">
        <f>表1_[[#This Row],[年份]]+表1_[[#This Row],[行政区域]]</f>
        <v>452019</v>
      </c>
    </row>
    <row r="197" spans="1:5" x14ac:dyDescent="0.3">
      <c r="A197" t="s">
        <v>319</v>
      </c>
      <c r="B197">
        <v>2018</v>
      </c>
      <c r="C197">
        <v>102.42</v>
      </c>
      <c r="D197">
        <f>VLOOKUP(表1_[[#This Row],[地区]],Sheet2!A:B,2,0)</f>
        <v>450000</v>
      </c>
      <c r="E197">
        <f>表1_[[#This Row],[年份]]+表1_[[#This Row],[行政区域]]</f>
        <v>452018</v>
      </c>
    </row>
    <row r="198" spans="1:5" x14ac:dyDescent="0.3">
      <c r="A198" t="s">
        <v>319</v>
      </c>
      <c r="B198">
        <v>2017</v>
      </c>
      <c r="C198">
        <v>89.77</v>
      </c>
      <c r="D198">
        <f>VLOOKUP(表1_[[#This Row],[地区]],Sheet2!A:B,2,0)</f>
        <v>450000</v>
      </c>
      <c r="E198">
        <f>表1_[[#This Row],[年份]]+表1_[[#This Row],[行政区域]]</f>
        <v>452017</v>
      </c>
    </row>
    <row r="199" spans="1:5" x14ac:dyDescent="0.3">
      <c r="A199" t="s">
        <v>319</v>
      </c>
      <c r="B199">
        <v>2016</v>
      </c>
      <c r="C199">
        <v>78.010000000000005</v>
      </c>
      <c r="D199">
        <f>VLOOKUP(表1_[[#This Row],[地区]],Sheet2!A:B,2,0)</f>
        <v>450000</v>
      </c>
      <c r="E199">
        <f>表1_[[#This Row],[年份]]+表1_[[#This Row],[行政区域]]</f>
        <v>452016</v>
      </c>
    </row>
    <row r="200" spans="1:5" x14ac:dyDescent="0.3">
      <c r="A200" t="s">
        <v>319</v>
      </c>
      <c r="B200">
        <v>2015</v>
      </c>
      <c r="C200">
        <v>74.959999999999994</v>
      </c>
      <c r="D200">
        <f>VLOOKUP(表1_[[#This Row],[地区]],Sheet2!A:B,2,0)</f>
        <v>450000</v>
      </c>
      <c r="E200">
        <f>表1_[[#This Row],[年份]]+表1_[[#This Row],[行政区域]]</f>
        <v>452015</v>
      </c>
    </row>
    <row r="201" spans="1:5" x14ac:dyDescent="0.3">
      <c r="A201" t="s">
        <v>319</v>
      </c>
      <c r="B201">
        <v>2014</v>
      </c>
      <c r="C201">
        <v>74.75</v>
      </c>
      <c r="D201">
        <f>VLOOKUP(表1_[[#This Row],[地区]],Sheet2!A:B,2,0)</f>
        <v>450000</v>
      </c>
      <c r="E201">
        <f>表1_[[#This Row],[年份]]+表1_[[#This Row],[行政区域]]</f>
        <v>452014</v>
      </c>
    </row>
    <row r="202" spans="1:5" x14ac:dyDescent="0.3">
      <c r="A202" t="s">
        <v>320</v>
      </c>
      <c r="B202">
        <v>2023</v>
      </c>
      <c r="C202">
        <v>115.69</v>
      </c>
      <c r="D202">
        <f>VLOOKUP(表1_[[#This Row],[地区]],Sheet2!A:B,2,0)</f>
        <v>460000</v>
      </c>
      <c r="E202">
        <f>表1_[[#This Row],[年份]]+表1_[[#This Row],[行政区域]]</f>
        <v>462023</v>
      </c>
    </row>
    <row r="203" spans="1:5" x14ac:dyDescent="0.3">
      <c r="A203" t="s">
        <v>320</v>
      </c>
      <c r="B203">
        <v>2022</v>
      </c>
      <c r="C203">
        <v>114.19</v>
      </c>
      <c r="D203">
        <f>VLOOKUP(表1_[[#This Row],[地区]],Sheet2!A:B,2,0)</f>
        <v>460000</v>
      </c>
      <c r="E203">
        <f>表1_[[#This Row],[年份]]+表1_[[#This Row],[行政区域]]</f>
        <v>462022</v>
      </c>
    </row>
    <row r="204" spans="1:5" x14ac:dyDescent="0.3">
      <c r="A204" t="s">
        <v>320</v>
      </c>
      <c r="B204">
        <v>2021</v>
      </c>
      <c r="C204">
        <v>113.56</v>
      </c>
      <c r="D204">
        <f>VLOOKUP(表1_[[#This Row],[地区]],Sheet2!A:B,2,0)</f>
        <v>460000</v>
      </c>
      <c r="E204">
        <f>表1_[[#This Row],[年份]]+表1_[[#This Row],[行政区域]]</f>
        <v>462021</v>
      </c>
    </row>
    <row r="205" spans="1:5" x14ac:dyDescent="0.3">
      <c r="A205" t="s">
        <v>320</v>
      </c>
      <c r="B205">
        <v>2020</v>
      </c>
      <c r="C205">
        <v>112.61</v>
      </c>
      <c r="D205">
        <f>VLOOKUP(表1_[[#This Row],[地区]],Sheet2!A:B,2,0)</f>
        <v>460000</v>
      </c>
      <c r="E205">
        <f>表1_[[#This Row],[年份]]+表1_[[#This Row],[行政区域]]</f>
        <v>462020</v>
      </c>
    </row>
    <row r="206" spans="1:5" x14ac:dyDescent="0.3">
      <c r="A206" t="s">
        <v>320</v>
      </c>
      <c r="B206">
        <v>2019</v>
      </c>
      <c r="C206">
        <v>120.21</v>
      </c>
      <c r="D206">
        <f>VLOOKUP(表1_[[#This Row],[地区]],Sheet2!A:B,2,0)</f>
        <v>460000</v>
      </c>
      <c r="E206">
        <f>表1_[[#This Row],[年份]]+表1_[[#This Row],[行政区域]]</f>
        <v>462019</v>
      </c>
    </row>
    <row r="207" spans="1:5" x14ac:dyDescent="0.3">
      <c r="A207" t="s">
        <v>320</v>
      </c>
      <c r="B207">
        <v>2018</v>
      </c>
      <c r="C207">
        <v>116.16</v>
      </c>
      <c r="D207">
        <f>VLOOKUP(表1_[[#This Row],[地区]],Sheet2!A:B,2,0)</f>
        <v>460000</v>
      </c>
      <c r="E207">
        <f>表1_[[#This Row],[年份]]+表1_[[#This Row],[行政区域]]</f>
        <v>462018</v>
      </c>
    </row>
    <row r="208" spans="1:5" x14ac:dyDescent="0.3">
      <c r="A208" t="s">
        <v>320</v>
      </c>
      <c r="B208">
        <v>2017</v>
      </c>
      <c r="C208">
        <v>108.83</v>
      </c>
      <c r="D208">
        <f>VLOOKUP(表1_[[#This Row],[地区]],Sheet2!A:B,2,0)</f>
        <v>460000</v>
      </c>
      <c r="E208">
        <f>表1_[[#This Row],[年份]]+表1_[[#This Row],[行政区域]]</f>
        <v>462017</v>
      </c>
    </row>
    <row r="209" spans="1:5" x14ac:dyDescent="0.3">
      <c r="A209" t="s">
        <v>320</v>
      </c>
      <c r="B209">
        <v>2016</v>
      </c>
      <c r="C209">
        <v>102.75</v>
      </c>
      <c r="D209">
        <f>VLOOKUP(表1_[[#This Row],[地区]],Sheet2!A:B,2,0)</f>
        <v>460000</v>
      </c>
      <c r="E209">
        <f>表1_[[#This Row],[年份]]+表1_[[#This Row],[行政区域]]</f>
        <v>462016</v>
      </c>
    </row>
    <row r="210" spans="1:5" x14ac:dyDescent="0.3">
      <c r="A210" t="s">
        <v>320</v>
      </c>
      <c r="B210">
        <v>2015</v>
      </c>
      <c r="C210">
        <v>98.16</v>
      </c>
      <c r="D210">
        <f>VLOOKUP(表1_[[#This Row],[地区]],Sheet2!A:B,2,0)</f>
        <v>460000</v>
      </c>
      <c r="E210">
        <f>表1_[[#This Row],[年份]]+表1_[[#This Row],[行政区域]]</f>
        <v>462015</v>
      </c>
    </row>
    <row r="211" spans="1:5" x14ac:dyDescent="0.3">
      <c r="A211" t="s">
        <v>320</v>
      </c>
      <c r="B211">
        <v>2014</v>
      </c>
      <c r="C211">
        <v>100.44</v>
      </c>
      <c r="D211">
        <f>VLOOKUP(表1_[[#This Row],[地区]],Sheet2!A:B,2,0)</f>
        <v>460000</v>
      </c>
      <c r="E211">
        <f>表1_[[#This Row],[年份]]+表1_[[#This Row],[行政区域]]</f>
        <v>462014</v>
      </c>
    </row>
    <row r="212" spans="1:5" x14ac:dyDescent="0.3">
      <c r="A212" t="s">
        <v>321</v>
      </c>
      <c r="B212">
        <v>2023</v>
      </c>
      <c r="C212">
        <v>137.41999999999999</v>
      </c>
      <c r="D212">
        <f>VLOOKUP(表1_[[#This Row],[地区]],Sheet2!A:B,2,0)</f>
        <v>500000</v>
      </c>
      <c r="E212">
        <f>表1_[[#This Row],[年份]]+表1_[[#This Row],[行政区域]]</f>
        <v>502023</v>
      </c>
    </row>
    <row r="213" spans="1:5" x14ac:dyDescent="0.3">
      <c r="A213" t="s">
        <v>321</v>
      </c>
      <c r="B213">
        <v>2022</v>
      </c>
      <c r="C213">
        <v>123.3</v>
      </c>
      <c r="D213">
        <f>VLOOKUP(表1_[[#This Row],[地区]],Sheet2!A:B,2,0)</f>
        <v>500000</v>
      </c>
      <c r="E213">
        <f>表1_[[#This Row],[年份]]+表1_[[#This Row],[行政区域]]</f>
        <v>502022</v>
      </c>
    </row>
    <row r="214" spans="1:5" x14ac:dyDescent="0.3">
      <c r="A214" t="s">
        <v>321</v>
      </c>
      <c r="B214">
        <v>2021</v>
      </c>
      <c r="C214">
        <v>116.77</v>
      </c>
      <c r="D214">
        <f>VLOOKUP(表1_[[#This Row],[地区]],Sheet2!A:B,2,0)</f>
        <v>500000</v>
      </c>
      <c r="E214">
        <f>表1_[[#This Row],[年份]]+表1_[[#This Row],[行政区域]]</f>
        <v>502021</v>
      </c>
    </row>
    <row r="215" spans="1:5" x14ac:dyDescent="0.3">
      <c r="A215" t="s">
        <v>321</v>
      </c>
      <c r="B215">
        <v>2020</v>
      </c>
      <c r="C215">
        <v>113.56</v>
      </c>
      <c r="D215">
        <f>VLOOKUP(表1_[[#This Row],[地区]],Sheet2!A:B,2,0)</f>
        <v>500000</v>
      </c>
      <c r="E215">
        <f>表1_[[#This Row],[年份]]+表1_[[#This Row],[行政区域]]</f>
        <v>502020</v>
      </c>
    </row>
    <row r="216" spans="1:5" x14ac:dyDescent="0.3">
      <c r="A216" t="s">
        <v>321</v>
      </c>
      <c r="B216">
        <v>2019</v>
      </c>
      <c r="C216">
        <v>117.75</v>
      </c>
      <c r="D216">
        <f>VLOOKUP(表1_[[#This Row],[地区]],Sheet2!A:B,2,0)</f>
        <v>500000</v>
      </c>
      <c r="E216">
        <f>表1_[[#This Row],[年份]]+表1_[[#This Row],[行政区域]]</f>
        <v>502019</v>
      </c>
    </row>
    <row r="217" spans="1:5" x14ac:dyDescent="0.3">
      <c r="A217" t="s">
        <v>321</v>
      </c>
      <c r="B217">
        <v>2018</v>
      </c>
      <c r="C217">
        <v>117.7</v>
      </c>
      <c r="D217">
        <f>VLOOKUP(表1_[[#This Row],[地区]],Sheet2!A:B,2,0)</f>
        <v>500000</v>
      </c>
      <c r="E217">
        <f>表1_[[#This Row],[年份]]+表1_[[#This Row],[行政区域]]</f>
        <v>502018</v>
      </c>
    </row>
    <row r="218" spans="1:5" x14ac:dyDescent="0.3">
      <c r="A218" t="s">
        <v>321</v>
      </c>
      <c r="B218">
        <v>2017</v>
      </c>
      <c r="C218">
        <v>106.49</v>
      </c>
      <c r="D218">
        <f>VLOOKUP(表1_[[#This Row],[地区]],Sheet2!A:B,2,0)</f>
        <v>500000</v>
      </c>
      <c r="E218">
        <f>表1_[[#This Row],[年份]]+表1_[[#This Row],[行政区域]]</f>
        <v>502017</v>
      </c>
    </row>
    <row r="219" spans="1:5" x14ac:dyDescent="0.3">
      <c r="A219" t="s">
        <v>321</v>
      </c>
      <c r="B219">
        <v>2016</v>
      </c>
      <c r="C219">
        <v>94.48</v>
      </c>
      <c r="D219">
        <f>VLOOKUP(表1_[[#This Row],[地区]],Sheet2!A:B,2,0)</f>
        <v>500000</v>
      </c>
      <c r="E219">
        <f>表1_[[#This Row],[年份]]+表1_[[#This Row],[行政区域]]</f>
        <v>502016</v>
      </c>
    </row>
    <row r="220" spans="1:5" x14ac:dyDescent="0.3">
      <c r="A220" t="s">
        <v>321</v>
      </c>
      <c r="B220">
        <v>2015</v>
      </c>
      <c r="C220">
        <v>90.76</v>
      </c>
      <c r="D220">
        <f>VLOOKUP(表1_[[#This Row],[地区]],Sheet2!A:B,2,0)</f>
        <v>500000</v>
      </c>
      <c r="E220">
        <f>表1_[[#This Row],[年份]]+表1_[[#This Row],[行政区域]]</f>
        <v>502015</v>
      </c>
    </row>
    <row r="221" spans="1:5" x14ac:dyDescent="0.3">
      <c r="A221" t="s">
        <v>321</v>
      </c>
      <c r="B221">
        <v>2014</v>
      </c>
      <c r="C221">
        <v>86.58</v>
      </c>
      <c r="D221">
        <f>VLOOKUP(表1_[[#This Row],[地区]],Sheet2!A:B,2,0)</f>
        <v>500000</v>
      </c>
      <c r="E221">
        <f>表1_[[#This Row],[年份]]+表1_[[#This Row],[行政区域]]</f>
        <v>502014</v>
      </c>
    </row>
    <row r="222" spans="1:5" x14ac:dyDescent="0.3">
      <c r="A222" t="s">
        <v>322</v>
      </c>
      <c r="B222">
        <v>2023</v>
      </c>
      <c r="C222">
        <v>115.94</v>
      </c>
      <c r="D222">
        <f>VLOOKUP(表1_[[#This Row],[地区]],Sheet2!A:B,2,0)</f>
        <v>510000</v>
      </c>
      <c r="E222">
        <f>表1_[[#This Row],[年份]]+表1_[[#This Row],[行政区域]]</f>
        <v>512023</v>
      </c>
    </row>
    <row r="223" spans="1:5" x14ac:dyDescent="0.3">
      <c r="A223" t="s">
        <v>322</v>
      </c>
      <c r="B223">
        <v>2022</v>
      </c>
      <c r="C223">
        <v>114.92</v>
      </c>
      <c r="D223">
        <f>VLOOKUP(表1_[[#This Row],[地区]],Sheet2!A:B,2,0)</f>
        <v>510000</v>
      </c>
      <c r="E223">
        <f>表1_[[#This Row],[年份]]+表1_[[#This Row],[行政区域]]</f>
        <v>512022</v>
      </c>
    </row>
    <row r="224" spans="1:5" x14ac:dyDescent="0.3">
      <c r="A224" t="s">
        <v>322</v>
      </c>
      <c r="B224">
        <v>2021</v>
      </c>
      <c r="C224">
        <v>111.55</v>
      </c>
      <c r="D224">
        <f>VLOOKUP(表1_[[#This Row],[地区]],Sheet2!A:B,2,0)</f>
        <v>510000</v>
      </c>
      <c r="E224">
        <f>表1_[[#This Row],[年份]]+表1_[[#This Row],[行政区域]]</f>
        <v>512021</v>
      </c>
    </row>
    <row r="225" spans="1:5" x14ac:dyDescent="0.3">
      <c r="A225" t="s">
        <v>322</v>
      </c>
      <c r="B225">
        <v>2020</v>
      </c>
      <c r="C225">
        <v>109.05</v>
      </c>
      <c r="D225">
        <f>VLOOKUP(表1_[[#This Row],[地区]],Sheet2!A:B,2,0)</f>
        <v>510000</v>
      </c>
      <c r="E225">
        <f>表1_[[#This Row],[年份]]+表1_[[#This Row],[行政区域]]</f>
        <v>512020</v>
      </c>
    </row>
    <row r="226" spans="1:5" x14ac:dyDescent="0.3">
      <c r="A226" t="s">
        <v>322</v>
      </c>
      <c r="B226">
        <v>2019</v>
      </c>
      <c r="C226">
        <v>112.76</v>
      </c>
      <c r="D226">
        <f>VLOOKUP(表1_[[#This Row],[地区]],Sheet2!A:B,2,0)</f>
        <v>510000</v>
      </c>
      <c r="E226">
        <f>表1_[[#This Row],[年份]]+表1_[[#This Row],[行政区域]]</f>
        <v>512019</v>
      </c>
    </row>
    <row r="227" spans="1:5" x14ac:dyDescent="0.3">
      <c r="A227" t="s">
        <v>322</v>
      </c>
      <c r="B227">
        <v>2018</v>
      </c>
      <c r="C227">
        <v>108.72</v>
      </c>
      <c r="D227">
        <f>VLOOKUP(表1_[[#This Row],[地区]],Sheet2!A:B,2,0)</f>
        <v>510000</v>
      </c>
      <c r="E227">
        <f>表1_[[#This Row],[年份]]+表1_[[#This Row],[行政区域]]</f>
        <v>512018</v>
      </c>
    </row>
    <row r="228" spans="1:5" x14ac:dyDescent="0.3">
      <c r="A228" t="s">
        <v>322</v>
      </c>
      <c r="B228">
        <v>2017</v>
      </c>
      <c r="C228">
        <v>92.67</v>
      </c>
      <c r="D228">
        <f>VLOOKUP(表1_[[#This Row],[地区]],Sheet2!A:B,2,0)</f>
        <v>510000</v>
      </c>
      <c r="E228">
        <f>表1_[[#This Row],[年份]]+表1_[[#This Row],[行政区域]]</f>
        <v>512017</v>
      </c>
    </row>
    <row r="229" spans="1:5" x14ac:dyDescent="0.3">
      <c r="A229" t="s">
        <v>322</v>
      </c>
      <c r="B229">
        <v>2016</v>
      </c>
      <c r="C229">
        <v>88.29</v>
      </c>
      <c r="D229">
        <f>VLOOKUP(表1_[[#This Row],[地区]],Sheet2!A:B,2,0)</f>
        <v>510000</v>
      </c>
      <c r="E229">
        <f>表1_[[#This Row],[年份]]+表1_[[#This Row],[行政区域]]</f>
        <v>512016</v>
      </c>
    </row>
    <row r="230" spans="1:5" x14ac:dyDescent="0.3">
      <c r="A230" t="s">
        <v>322</v>
      </c>
      <c r="B230">
        <v>2015</v>
      </c>
      <c r="C230">
        <v>82.87</v>
      </c>
      <c r="D230">
        <f>VLOOKUP(表1_[[#This Row],[地区]],Sheet2!A:B,2,0)</f>
        <v>510000</v>
      </c>
      <c r="E230">
        <f>表1_[[#This Row],[年份]]+表1_[[#This Row],[行政区域]]</f>
        <v>512015</v>
      </c>
    </row>
    <row r="231" spans="1:5" x14ac:dyDescent="0.3">
      <c r="A231" t="s">
        <v>322</v>
      </c>
      <c r="B231">
        <v>2014</v>
      </c>
      <c r="C231">
        <v>81.180000000000007</v>
      </c>
      <c r="D231">
        <f>VLOOKUP(表1_[[#This Row],[地区]],Sheet2!A:B,2,0)</f>
        <v>510000</v>
      </c>
      <c r="E231">
        <f>表1_[[#This Row],[年份]]+表1_[[#This Row],[行政区域]]</f>
        <v>512014</v>
      </c>
    </row>
    <row r="232" spans="1:5" x14ac:dyDescent="0.3">
      <c r="A232" t="s">
        <v>323</v>
      </c>
      <c r="B232">
        <v>2023</v>
      </c>
      <c r="C232">
        <v>117.84</v>
      </c>
      <c r="D232">
        <f>VLOOKUP(表1_[[#This Row],[地区]],Sheet2!A:B,2,0)</f>
        <v>520000</v>
      </c>
      <c r="E232">
        <f>表1_[[#This Row],[年份]]+表1_[[#This Row],[行政区域]]</f>
        <v>522023</v>
      </c>
    </row>
    <row r="233" spans="1:5" x14ac:dyDescent="0.3">
      <c r="A233" t="s">
        <v>323</v>
      </c>
      <c r="B233">
        <v>2022</v>
      </c>
      <c r="C233">
        <v>115.35</v>
      </c>
      <c r="D233">
        <f>VLOOKUP(表1_[[#This Row],[地区]],Sheet2!A:B,2,0)</f>
        <v>520000</v>
      </c>
      <c r="E233">
        <f>表1_[[#This Row],[年份]]+表1_[[#This Row],[行政区域]]</f>
        <v>522022</v>
      </c>
    </row>
    <row r="234" spans="1:5" x14ac:dyDescent="0.3">
      <c r="A234" t="s">
        <v>323</v>
      </c>
      <c r="B234">
        <v>2021</v>
      </c>
      <c r="C234">
        <v>110.85</v>
      </c>
      <c r="D234">
        <f>VLOOKUP(表1_[[#This Row],[地区]],Sheet2!A:B,2,0)</f>
        <v>520000</v>
      </c>
      <c r="E234">
        <f>表1_[[#This Row],[年份]]+表1_[[#This Row],[行政区域]]</f>
        <v>522021</v>
      </c>
    </row>
    <row r="235" spans="1:5" x14ac:dyDescent="0.3">
      <c r="A235" t="s">
        <v>323</v>
      </c>
      <c r="B235">
        <v>2020</v>
      </c>
      <c r="C235">
        <v>106.15</v>
      </c>
      <c r="D235">
        <f>VLOOKUP(表1_[[#This Row],[地区]],Sheet2!A:B,2,0)</f>
        <v>520000</v>
      </c>
      <c r="E235">
        <f>表1_[[#This Row],[年份]]+表1_[[#This Row],[行政区域]]</f>
        <v>522020</v>
      </c>
    </row>
    <row r="236" spans="1:5" x14ac:dyDescent="0.3">
      <c r="A236" t="s">
        <v>323</v>
      </c>
      <c r="B236">
        <v>2019</v>
      </c>
      <c r="C236">
        <v>111.78</v>
      </c>
      <c r="D236">
        <f>VLOOKUP(表1_[[#This Row],[地区]],Sheet2!A:B,2,0)</f>
        <v>520000</v>
      </c>
      <c r="E236">
        <f>表1_[[#This Row],[年份]]+表1_[[#This Row],[行政区域]]</f>
        <v>522019</v>
      </c>
    </row>
    <row r="237" spans="1:5" x14ac:dyDescent="0.3">
      <c r="A237" t="s">
        <v>323</v>
      </c>
      <c r="B237">
        <v>2018</v>
      </c>
      <c r="C237">
        <v>109.46</v>
      </c>
      <c r="D237">
        <f>VLOOKUP(表1_[[#This Row],[地区]],Sheet2!A:B,2,0)</f>
        <v>520000</v>
      </c>
      <c r="E237">
        <f>表1_[[#This Row],[年份]]+表1_[[#This Row],[行政区域]]</f>
        <v>522018</v>
      </c>
    </row>
    <row r="238" spans="1:5" x14ac:dyDescent="0.3">
      <c r="A238" t="s">
        <v>323</v>
      </c>
      <c r="B238">
        <v>2017</v>
      </c>
      <c r="C238">
        <v>97.36</v>
      </c>
      <c r="D238">
        <f>VLOOKUP(表1_[[#This Row],[地区]],Sheet2!A:B,2,0)</f>
        <v>520000</v>
      </c>
      <c r="E238">
        <f>表1_[[#This Row],[年份]]+表1_[[#This Row],[行政区域]]</f>
        <v>522017</v>
      </c>
    </row>
    <row r="239" spans="1:5" x14ac:dyDescent="0.3">
      <c r="A239" t="s">
        <v>323</v>
      </c>
      <c r="B239">
        <v>2016</v>
      </c>
      <c r="C239">
        <v>86.71</v>
      </c>
      <c r="D239">
        <f>VLOOKUP(表1_[[#This Row],[地区]],Sheet2!A:B,2,0)</f>
        <v>520000</v>
      </c>
      <c r="E239">
        <f>表1_[[#This Row],[年份]]+表1_[[#This Row],[行政区域]]</f>
        <v>522016</v>
      </c>
    </row>
    <row r="240" spans="1:5" x14ac:dyDescent="0.3">
      <c r="A240" t="s">
        <v>323</v>
      </c>
      <c r="B240">
        <v>2015</v>
      </c>
      <c r="C240">
        <v>83.34</v>
      </c>
      <c r="D240">
        <f>VLOOKUP(表1_[[#This Row],[地区]],Sheet2!A:B,2,0)</f>
        <v>520000</v>
      </c>
      <c r="E240">
        <f>表1_[[#This Row],[年份]]+表1_[[#This Row],[行政区域]]</f>
        <v>522015</v>
      </c>
    </row>
    <row r="241" spans="1:5" x14ac:dyDescent="0.3">
      <c r="A241" t="s">
        <v>323</v>
      </c>
      <c r="B241">
        <v>2014</v>
      </c>
      <c r="C241">
        <v>82.25</v>
      </c>
      <c r="D241">
        <f>VLOOKUP(表1_[[#This Row],[地区]],Sheet2!A:B,2,0)</f>
        <v>520000</v>
      </c>
      <c r="E241">
        <f>表1_[[#This Row],[年份]]+表1_[[#This Row],[行政区域]]</f>
        <v>522014</v>
      </c>
    </row>
    <row r="242" spans="1:5" x14ac:dyDescent="0.3">
      <c r="A242" t="s">
        <v>324</v>
      </c>
      <c r="B242">
        <v>2023</v>
      </c>
      <c r="C242">
        <v>111.56</v>
      </c>
      <c r="D242">
        <f>VLOOKUP(表1_[[#This Row],[地区]],Sheet2!A:B,2,0)</f>
        <v>530000</v>
      </c>
      <c r="E242">
        <f>表1_[[#This Row],[年份]]+表1_[[#This Row],[行政区域]]</f>
        <v>532023</v>
      </c>
    </row>
    <row r="243" spans="1:5" x14ac:dyDescent="0.3">
      <c r="A243" t="s">
        <v>324</v>
      </c>
      <c r="B243">
        <v>2022</v>
      </c>
      <c r="C243">
        <v>109.36</v>
      </c>
      <c r="D243">
        <f>VLOOKUP(表1_[[#This Row],[地区]],Sheet2!A:B,2,0)</f>
        <v>530000</v>
      </c>
      <c r="E243">
        <f>表1_[[#This Row],[年份]]+表1_[[#This Row],[行政区域]]</f>
        <v>532022</v>
      </c>
    </row>
    <row r="244" spans="1:5" x14ac:dyDescent="0.3">
      <c r="A244" t="s">
        <v>324</v>
      </c>
      <c r="B244">
        <v>2021</v>
      </c>
      <c r="C244">
        <v>107.58</v>
      </c>
      <c r="D244">
        <f>VLOOKUP(表1_[[#This Row],[地区]],Sheet2!A:B,2,0)</f>
        <v>530000</v>
      </c>
      <c r="E244">
        <f>表1_[[#This Row],[年份]]+表1_[[#This Row],[行政区域]]</f>
        <v>532021</v>
      </c>
    </row>
    <row r="245" spans="1:5" x14ac:dyDescent="0.3">
      <c r="A245" t="s">
        <v>324</v>
      </c>
      <c r="B245">
        <v>2020</v>
      </c>
      <c r="C245">
        <v>104.92</v>
      </c>
      <c r="D245">
        <f>VLOOKUP(表1_[[#This Row],[地区]],Sheet2!A:B,2,0)</f>
        <v>530000</v>
      </c>
      <c r="E245">
        <f>表1_[[#This Row],[年份]]+表1_[[#This Row],[行政区域]]</f>
        <v>532020</v>
      </c>
    </row>
    <row r="246" spans="1:5" x14ac:dyDescent="0.3">
      <c r="A246" t="s">
        <v>324</v>
      </c>
      <c r="B246">
        <v>2019</v>
      </c>
      <c r="C246">
        <v>100.1</v>
      </c>
      <c r="D246">
        <f>VLOOKUP(表1_[[#This Row],[地区]],Sheet2!A:B,2,0)</f>
        <v>530000</v>
      </c>
      <c r="E246">
        <f>表1_[[#This Row],[年份]]+表1_[[#This Row],[行政区域]]</f>
        <v>532019</v>
      </c>
    </row>
    <row r="247" spans="1:5" x14ac:dyDescent="0.3">
      <c r="A247" t="s">
        <v>324</v>
      </c>
      <c r="B247">
        <v>2018</v>
      </c>
      <c r="C247">
        <v>96.47</v>
      </c>
      <c r="D247">
        <f>VLOOKUP(表1_[[#This Row],[地区]],Sheet2!A:B,2,0)</f>
        <v>530000</v>
      </c>
      <c r="E247">
        <f>表1_[[#This Row],[年份]]+表1_[[#This Row],[行政区域]]</f>
        <v>532018</v>
      </c>
    </row>
    <row r="248" spans="1:5" x14ac:dyDescent="0.3">
      <c r="A248" t="s">
        <v>324</v>
      </c>
      <c r="B248">
        <v>2017</v>
      </c>
      <c r="C248">
        <v>88.08</v>
      </c>
      <c r="D248">
        <f>VLOOKUP(表1_[[#This Row],[地区]],Sheet2!A:B,2,0)</f>
        <v>530000</v>
      </c>
      <c r="E248">
        <f>表1_[[#This Row],[年份]]+表1_[[#This Row],[行政区域]]</f>
        <v>532017</v>
      </c>
    </row>
    <row r="249" spans="1:5" x14ac:dyDescent="0.3">
      <c r="A249" t="s">
        <v>324</v>
      </c>
      <c r="B249">
        <v>2016</v>
      </c>
      <c r="C249">
        <v>82.65</v>
      </c>
      <c r="D249">
        <f>VLOOKUP(表1_[[#This Row],[地区]],Sheet2!A:B,2,0)</f>
        <v>530000</v>
      </c>
      <c r="E249">
        <f>表1_[[#This Row],[年份]]+表1_[[#This Row],[行政区域]]</f>
        <v>532016</v>
      </c>
    </row>
    <row r="250" spans="1:5" x14ac:dyDescent="0.3">
      <c r="A250" t="s">
        <v>324</v>
      </c>
      <c r="B250">
        <v>2015</v>
      </c>
      <c r="C250">
        <v>78.87</v>
      </c>
      <c r="D250">
        <f>VLOOKUP(表1_[[#This Row],[地区]],Sheet2!A:B,2,0)</f>
        <v>530000</v>
      </c>
      <c r="E250">
        <f>表1_[[#This Row],[年份]]+表1_[[#This Row],[行政区域]]</f>
        <v>532015</v>
      </c>
    </row>
    <row r="251" spans="1:5" x14ac:dyDescent="0.3">
      <c r="A251" t="s">
        <v>324</v>
      </c>
      <c r="B251">
        <v>2014</v>
      </c>
      <c r="C251">
        <v>79.52</v>
      </c>
      <c r="D251">
        <f>VLOOKUP(表1_[[#This Row],[地区]],Sheet2!A:B,2,0)</f>
        <v>530000</v>
      </c>
      <c r="E251">
        <f>表1_[[#This Row],[年份]]+表1_[[#This Row],[行政区域]]</f>
        <v>532014</v>
      </c>
    </row>
    <row r="252" spans="1:5" x14ac:dyDescent="0.3">
      <c r="A252" t="s">
        <v>325</v>
      </c>
      <c r="B252">
        <v>2023</v>
      </c>
      <c r="C252">
        <v>125.36</v>
      </c>
      <c r="D252">
        <f>VLOOKUP(表1_[[#This Row],[地区]],Sheet2!A:B,2,0)</f>
        <v>610000</v>
      </c>
      <c r="E252">
        <f>表1_[[#This Row],[年份]]+表1_[[#This Row],[行政区域]]</f>
        <v>612023</v>
      </c>
    </row>
    <row r="253" spans="1:5" x14ac:dyDescent="0.3">
      <c r="A253" t="s">
        <v>325</v>
      </c>
      <c r="B253">
        <v>2022</v>
      </c>
      <c r="C253">
        <v>122.2</v>
      </c>
      <c r="D253">
        <f>VLOOKUP(表1_[[#This Row],[地区]],Sheet2!A:B,2,0)</f>
        <v>610000</v>
      </c>
      <c r="E253">
        <f>表1_[[#This Row],[年份]]+表1_[[#This Row],[行政区域]]</f>
        <v>612022</v>
      </c>
    </row>
    <row r="254" spans="1:5" x14ac:dyDescent="0.3">
      <c r="A254" t="s">
        <v>325</v>
      </c>
      <c r="B254">
        <v>2021</v>
      </c>
      <c r="C254">
        <v>120.83</v>
      </c>
      <c r="D254">
        <f>VLOOKUP(表1_[[#This Row],[地区]],Sheet2!A:B,2,0)</f>
        <v>610000</v>
      </c>
      <c r="E254">
        <f>表1_[[#This Row],[年份]]+表1_[[#This Row],[行政区域]]</f>
        <v>612021</v>
      </c>
    </row>
    <row r="255" spans="1:5" x14ac:dyDescent="0.3">
      <c r="A255" t="s">
        <v>325</v>
      </c>
      <c r="B255">
        <v>2020</v>
      </c>
      <c r="C255">
        <v>116.11</v>
      </c>
      <c r="D255">
        <f>VLOOKUP(表1_[[#This Row],[地区]],Sheet2!A:B,2,0)</f>
        <v>610000</v>
      </c>
      <c r="E255">
        <f>表1_[[#This Row],[年份]]+表1_[[#This Row],[行政区域]]</f>
        <v>612020</v>
      </c>
    </row>
    <row r="256" spans="1:5" x14ac:dyDescent="0.3">
      <c r="A256" t="s">
        <v>325</v>
      </c>
      <c r="B256">
        <v>2019</v>
      </c>
      <c r="C256">
        <v>119.72</v>
      </c>
      <c r="D256">
        <f>VLOOKUP(表1_[[#This Row],[地区]],Sheet2!A:B,2,0)</f>
        <v>610000</v>
      </c>
      <c r="E256">
        <f>表1_[[#This Row],[年份]]+表1_[[#This Row],[行政区域]]</f>
        <v>612019</v>
      </c>
    </row>
    <row r="257" spans="1:5" x14ac:dyDescent="0.3">
      <c r="A257" t="s">
        <v>325</v>
      </c>
      <c r="B257">
        <v>2018</v>
      </c>
      <c r="C257">
        <v>121.33</v>
      </c>
      <c r="D257">
        <f>VLOOKUP(表1_[[#This Row],[地区]],Sheet2!A:B,2,0)</f>
        <v>610000</v>
      </c>
      <c r="E257">
        <f>表1_[[#This Row],[年份]]+表1_[[#This Row],[行政区域]]</f>
        <v>612018</v>
      </c>
    </row>
    <row r="258" spans="1:5" x14ac:dyDescent="0.3">
      <c r="A258" t="s">
        <v>325</v>
      </c>
      <c r="B258">
        <v>2017</v>
      </c>
      <c r="C258">
        <v>110.04</v>
      </c>
      <c r="D258">
        <f>VLOOKUP(表1_[[#This Row],[地区]],Sheet2!A:B,2,0)</f>
        <v>610000</v>
      </c>
      <c r="E258">
        <f>表1_[[#This Row],[年份]]+表1_[[#This Row],[行政区域]]</f>
        <v>612017</v>
      </c>
    </row>
    <row r="259" spans="1:5" x14ac:dyDescent="0.3">
      <c r="A259" t="s">
        <v>325</v>
      </c>
      <c r="B259">
        <v>2016</v>
      </c>
      <c r="C259">
        <v>100.02</v>
      </c>
      <c r="D259">
        <f>VLOOKUP(表1_[[#This Row],[地区]],Sheet2!A:B,2,0)</f>
        <v>610000</v>
      </c>
      <c r="E259">
        <f>表1_[[#This Row],[年份]]+表1_[[#This Row],[行政区域]]</f>
        <v>612016</v>
      </c>
    </row>
    <row r="260" spans="1:5" x14ac:dyDescent="0.3">
      <c r="A260" t="s">
        <v>325</v>
      </c>
      <c r="B260">
        <v>2015</v>
      </c>
      <c r="C260">
        <v>94.04</v>
      </c>
      <c r="D260">
        <f>VLOOKUP(表1_[[#This Row],[地区]],Sheet2!A:B,2,0)</f>
        <v>610000</v>
      </c>
      <c r="E260">
        <f>表1_[[#This Row],[年份]]+表1_[[#This Row],[行政区域]]</f>
        <v>612015</v>
      </c>
    </row>
    <row r="261" spans="1:5" x14ac:dyDescent="0.3">
      <c r="A261" t="s">
        <v>325</v>
      </c>
      <c r="B261">
        <v>2014</v>
      </c>
      <c r="C261">
        <v>95.55</v>
      </c>
      <c r="D261">
        <f>VLOOKUP(表1_[[#This Row],[地区]],Sheet2!A:B,2,0)</f>
        <v>610000</v>
      </c>
      <c r="E261">
        <f>表1_[[#This Row],[年份]]+表1_[[#This Row],[行政区域]]</f>
        <v>612014</v>
      </c>
    </row>
    <row r="262" spans="1:5" x14ac:dyDescent="0.3">
      <c r="A262" t="s">
        <v>326</v>
      </c>
      <c r="B262">
        <v>2023</v>
      </c>
      <c r="C262">
        <v>117.38</v>
      </c>
      <c r="D262">
        <f>VLOOKUP(表1_[[#This Row],[地区]],Sheet2!A:B,2,0)</f>
        <v>620000</v>
      </c>
      <c r="E262">
        <f>表1_[[#This Row],[年份]]+表1_[[#This Row],[行政区域]]</f>
        <v>622023</v>
      </c>
    </row>
    <row r="263" spans="1:5" x14ac:dyDescent="0.3">
      <c r="A263" t="s">
        <v>326</v>
      </c>
      <c r="B263">
        <v>2022</v>
      </c>
      <c r="C263">
        <v>111.73</v>
      </c>
      <c r="D263">
        <f>VLOOKUP(表1_[[#This Row],[地区]],Sheet2!A:B,2,0)</f>
        <v>620000</v>
      </c>
      <c r="E263">
        <f>表1_[[#This Row],[年份]]+表1_[[#This Row],[行政区域]]</f>
        <v>622022</v>
      </c>
    </row>
    <row r="264" spans="1:5" x14ac:dyDescent="0.3">
      <c r="A264" t="s">
        <v>326</v>
      </c>
      <c r="B264">
        <v>2021</v>
      </c>
      <c r="C264">
        <v>110.23</v>
      </c>
      <c r="D264">
        <f>VLOOKUP(表1_[[#This Row],[地区]],Sheet2!A:B,2,0)</f>
        <v>620000</v>
      </c>
      <c r="E264">
        <f>表1_[[#This Row],[年份]]+表1_[[#This Row],[行政区域]]</f>
        <v>622021</v>
      </c>
    </row>
    <row r="265" spans="1:5" x14ac:dyDescent="0.3">
      <c r="A265" t="s">
        <v>326</v>
      </c>
      <c r="B265">
        <v>2020</v>
      </c>
      <c r="C265">
        <v>106.87</v>
      </c>
      <c r="D265">
        <f>VLOOKUP(表1_[[#This Row],[地区]],Sheet2!A:B,2,0)</f>
        <v>620000</v>
      </c>
      <c r="E265">
        <f>表1_[[#This Row],[年份]]+表1_[[#This Row],[行政区域]]</f>
        <v>622020</v>
      </c>
    </row>
    <row r="266" spans="1:5" x14ac:dyDescent="0.3">
      <c r="A266" t="s">
        <v>326</v>
      </c>
      <c r="B266">
        <v>2019</v>
      </c>
      <c r="C266">
        <v>103.92</v>
      </c>
      <c r="D266">
        <f>VLOOKUP(表1_[[#This Row],[地区]],Sheet2!A:B,2,0)</f>
        <v>620000</v>
      </c>
      <c r="E266">
        <f>表1_[[#This Row],[年份]]+表1_[[#This Row],[行政区域]]</f>
        <v>622019</v>
      </c>
    </row>
    <row r="267" spans="1:5" x14ac:dyDescent="0.3">
      <c r="A267" t="s">
        <v>326</v>
      </c>
      <c r="B267">
        <v>2018</v>
      </c>
      <c r="C267">
        <v>103.74</v>
      </c>
      <c r="D267">
        <f>VLOOKUP(表1_[[#This Row],[地区]],Sheet2!A:B,2,0)</f>
        <v>620000</v>
      </c>
      <c r="E267">
        <f>表1_[[#This Row],[年份]]+表1_[[#This Row],[行政区域]]</f>
        <v>622018</v>
      </c>
    </row>
    <row r="268" spans="1:5" x14ac:dyDescent="0.3">
      <c r="A268" t="s">
        <v>326</v>
      </c>
      <c r="B268">
        <v>2017</v>
      </c>
      <c r="C268">
        <v>96.22</v>
      </c>
      <c r="D268">
        <f>VLOOKUP(表1_[[#This Row],[地区]],Sheet2!A:B,2,0)</f>
        <v>620000</v>
      </c>
      <c r="E268">
        <f>表1_[[#This Row],[年份]]+表1_[[#This Row],[行政区域]]</f>
        <v>622017</v>
      </c>
    </row>
    <row r="269" spans="1:5" x14ac:dyDescent="0.3">
      <c r="A269" t="s">
        <v>326</v>
      </c>
      <c r="B269">
        <v>2016</v>
      </c>
      <c r="C269">
        <v>84.44</v>
      </c>
      <c r="D269">
        <f>VLOOKUP(表1_[[#This Row],[地区]],Sheet2!A:B,2,0)</f>
        <v>620000</v>
      </c>
      <c r="E269">
        <f>表1_[[#This Row],[年份]]+表1_[[#This Row],[行政区域]]</f>
        <v>622016</v>
      </c>
    </row>
    <row r="270" spans="1:5" x14ac:dyDescent="0.3">
      <c r="A270" t="s">
        <v>326</v>
      </c>
      <c r="B270">
        <v>2015</v>
      </c>
      <c r="C270">
        <v>80.989999999999995</v>
      </c>
      <c r="D270">
        <f>VLOOKUP(表1_[[#This Row],[地区]],Sheet2!A:B,2,0)</f>
        <v>620000</v>
      </c>
      <c r="E270">
        <f>表1_[[#This Row],[年份]]+表1_[[#This Row],[行政区域]]</f>
        <v>622015</v>
      </c>
    </row>
    <row r="271" spans="1:5" x14ac:dyDescent="0.3">
      <c r="A271" t="s">
        <v>326</v>
      </c>
      <c r="B271">
        <v>2014</v>
      </c>
      <c r="C271">
        <v>79.459999999999994</v>
      </c>
      <c r="D271">
        <f>VLOOKUP(表1_[[#This Row],[地区]],Sheet2!A:B,2,0)</f>
        <v>620000</v>
      </c>
      <c r="E271">
        <f>表1_[[#This Row],[年份]]+表1_[[#This Row],[行政区域]]</f>
        <v>622014</v>
      </c>
    </row>
    <row r="272" spans="1:5" x14ac:dyDescent="0.3">
      <c r="A272" t="s">
        <v>327</v>
      </c>
      <c r="B272">
        <v>2023</v>
      </c>
      <c r="C272">
        <v>124.43</v>
      </c>
      <c r="D272">
        <f>VLOOKUP(表1_[[#This Row],[地区]],Sheet2!A:B,2,0)</f>
        <v>630000</v>
      </c>
      <c r="E272">
        <f>表1_[[#This Row],[年份]]+表1_[[#This Row],[行政区域]]</f>
        <v>632023</v>
      </c>
    </row>
    <row r="273" spans="1:5" x14ac:dyDescent="0.3">
      <c r="A273" t="s">
        <v>327</v>
      </c>
      <c r="B273">
        <v>2022</v>
      </c>
      <c r="C273">
        <v>118.38</v>
      </c>
      <c r="D273">
        <f>VLOOKUP(表1_[[#This Row],[地区]],Sheet2!A:B,2,0)</f>
        <v>630000</v>
      </c>
      <c r="E273">
        <f>表1_[[#This Row],[年份]]+表1_[[#This Row],[行政区域]]</f>
        <v>632022</v>
      </c>
    </row>
    <row r="274" spans="1:5" x14ac:dyDescent="0.3">
      <c r="A274" t="s">
        <v>327</v>
      </c>
      <c r="B274">
        <v>2021</v>
      </c>
      <c r="C274">
        <v>114.56</v>
      </c>
      <c r="D274">
        <f>VLOOKUP(表1_[[#This Row],[地区]],Sheet2!A:B,2,0)</f>
        <v>630000</v>
      </c>
      <c r="E274">
        <f>表1_[[#This Row],[年份]]+表1_[[#This Row],[行政区域]]</f>
        <v>632021</v>
      </c>
    </row>
    <row r="275" spans="1:5" x14ac:dyDescent="0.3">
      <c r="A275" t="s">
        <v>327</v>
      </c>
      <c r="B275">
        <v>2020</v>
      </c>
      <c r="C275">
        <v>111.31</v>
      </c>
      <c r="D275">
        <f>VLOOKUP(表1_[[#This Row],[地区]],Sheet2!A:B,2,0)</f>
        <v>630000</v>
      </c>
      <c r="E275">
        <f>表1_[[#This Row],[年份]]+表1_[[#This Row],[行政区域]]</f>
        <v>632020</v>
      </c>
    </row>
    <row r="276" spans="1:5" x14ac:dyDescent="0.3">
      <c r="A276" t="s">
        <v>327</v>
      </c>
      <c r="B276">
        <v>2019</v>
      </c>
      <c r="C276">
        <v>110.73</v>
      </c>
      <c r="D276">
        <f>VLOOKUP(表1_[[#This Row],[地区]],Sheet2!A:B,2,0)</f>
        <v>630000</v>
      </c>
      <c r="E276">
        <f>表1_[[#This Row],[年份]]+表1_[[#This Row],[行政区域]]</f>
        <v>632019</v>
      </c>
    </row>
    <row r="277" spans="1:5" x14ac:dyDescent="0.3">
      <c r="A277" t="s">
        <v>327</v>
      </c>
      <c r="B277">
        <v>2018</v>
      </c>
      <c r="C277">
        <v>113.79</v>
      </c>
      <c r="D277">
        <f>VLOOKUP(表1_[[#This Row],[地区]],Sheet2!A:B,2,0)</f>
        <v>630000</v>
      </c>
      <c r="E277">
        <f>表1_[[#This Row],[年份]]+表1_[[#This Row],[行政区域]]</f>
        <v>632018</v>
      </c>
    </row>
    <row r="278" spans="1:5" x14ac:dyDescent="0.3">
      <c r="A278" t="s">
        <v>327</v>
      </c>
      <c r="B278">
        <v>2017</v>
      </c>
      <c r="C278">
        <v>102.09</v>
      </c>
      <c r="D278">
        <f>VLOOKUP(表1_[[#This Row],[地区]],Sheet2!A:B,2,0)</f>
        <v>630000</v>
      </c>
      <c r="E278">
        <f>表1_[[#This Row],[年份]]+表1_[[#This Row],[行政区域]]</f>
        <v>632017</v>
      </c>
    </row>
    <row r="279" spans="1:5" x14ac:dyDescent="0.3">
      <c r="A279" t="s">
        <v>327</v>
      </c>
      <c r="B279">
        <v>2016</v>
      </c>
      <c r="C279">
        <v>90.95</v>
      </c>
      <c r="D279">
        <f>VLOOKUP(表1_[[#This Row],[地区]],Sheet2!A:B,2,0)</f>
        <v>630000</v>
      </c>
      <c r="E279">
        <f>表1_[[#This Row],[年份]]+表1_[[#This Row],[行政区域]]</f>
        <v>632016</v>
      </c>
    </row>
    <row r="280" spans="1:5" x14ac:dyDescent="0.3">
      <c r="A280" t="s">
        <v>327</v>
      </c>
      <c r="B280">
        <v>2015</v>
      </c>
      <c r="C280">
        <v>87.88</v>
      </c>
      <c r="D280">
        <f>VLOOKUP(表1_[[#This Row],[地区]],Sheet2!A:B,2,0)</f>
        <v>630000</v>
      </c>
      <c r="E280">
        <f>表1_[[#This Row],[年份]]+表1_[[#This Row],[行政区域]]</f>
        <v>632015</v>
      </c>
    </row>
    <row r="281" spans="1:5" x14ac:dyDescent="0.3">
      <c r="A281" t="s">
        <v>327</v>
      </c>
      <c r="B281">
        <v>2014</v>
      </c>
      <c r="C281">
        <v>93.24</v>
      </c>
      <c r="D281">
        <f>VLOOKUP(表1_[[#This Row],[地区]],Sheet2!A:B,2,0)</f>
        <v>630000</v>
      </c>
      <c r="E281">
        <f>表1_[[#This Row],[年份]]+表1_[[#This Row],[行政区域]]</f>
        <v>632014</v>
      </c>
    </row>
    <row r="282" spans="1:5" x14ac:dyDescent="0.3">
      <c r="A282" t="s">
        <v>328</v>
      </c>
      <c r="B282">
        <v>2023</v>
      </c>
      <c r="C282">
        <v>125.93</v>
      </c>
      <c r="D282">
        <f>VLOOKUP(表1_[[#This Row],[地区]],Sheet2!A:B,2,0)</f>
        <v>640000</v>
      </c>
      <c r="E282">
        <f>表1_[[#This Row],[年份]]+表1_[[#This Row],[行政区域]]</f>
        <v>642023</v>
      </c>
    </row>
    <row r="283" spans="1:5" x14ac:dyDescent="0.3">
      <c r="A283" t="s">
        <v>328</v>
      </c>
      <c r="B283">
        <v>2022</v>
      </c>
      <c r="C283">
        <v>122.38</v>
      </c>
      <c r="D283">
        <f>VLOOKUP(表1_[[#This Row],[地区]],Sheet2!A:B,2,0)</f>
        <v>640000</v>
      </c>
      <c r="E283">
        <f>表1_[[#This Row],[年份]]+表1_[[#This Row],[行政区域]]</f>
        <v>642022</v>
      </c>
    </row>
    <row r="284" spans="1:5" x14ac:dyDescent="0.3">
      <c r="A284" t="s">
        <v>328</v>
      </c>
      <c r="B284">
        <v>2021</v>
      </c>
      <c r="C284">
        <v>119.46</v>
      </c>
      <c r="D284">
        <f>VLOOKUP(表1_[[#This Row],[地区]],Sheet2!A:B,2,0)</f>
        <v>640000</v>
      </c>
      <c r="E284">
        <f>表1_[[#This Row],[年份]]+表1_[[#This Row],[行政区域]]</f>
        <v>642021</v>
      </c>
    </row>
    <row r="285" spans="1:5" x14ac:dyDescent="0.3">
      <c r="A285" t="s">
        <v>328</v>
      </c>
      <c r="B285">
        <v>2020</v>
      </c>
      <c r="C285">
        <v>116.51</v>
      </c>
      <c r="D285">
        <f>VLOOKUP(表1_[[#This Row],[地区]],Sheet2!A:B,2,0)</f>
        <v>640000</v>
      </c>
      <c r="E285">
        <f>表1_[[#This Row],[年份]]+表1_[[#This Row],[行政区域]]</f>
        <v>642020</v>
      </c>
    </row>
    <row r="286" spans="1:5" x14ac:dyDescent="0.3">
      <c r="A286" t="s">
        <v>328</v>
      </c>
      <c r="B286">
        <v>2019</v>
      </c>
      <c r="C286">
        <v>119.24</v>
      </c>
      <c r="D286">
        <f>VLOOKUP(表1_[[#This Row],[地区]],Sheet2!A:B,2,0)</f>
        <v>640000</v>
      </c>
      <c r="E286">
        <f>表1_[[#This Row],[年份]]+表1_[[#This Row],[行政区域]]</f>
        <v>642019</v>
      </c>
    </row>
    <row r="287" spans="1:5" x14ac:dyDescent="0.3">
      <c r="A287" t="s">
        <v>328</v>
      </c>
      <c r="B287">
        <v>2018</v>
      </c>
      <c r="C287">
        <v>128.04</v>
      </c>
      <c r="D287">
        <f>VLOOKUP(表1_[[#This Row],[地区]],Sheet2!A:B,2,0)</f>
        <v>640000</v>
      </c>
      <c r="E287">
        <f>表1_[[#This Row],[年份]]+表1_[[#This Row],[行政区域]]</f>
        <v>642018</v>
      </c>
    </row>
    <row r="288" spans="1:5" x14ac:dyDescent="0.3">
      <c r="A288" t="s">
        <v>328</v>
      </c>
      <c r="B288">
        <v>2017</v>
      </c>
      <c r="C288">
        <v>116.16</v>
      </c>
      <c r="D288">
        <f>VLOOKUP(表1_[[#This Row],[地区]],Sheet2!A:B,2,0)</f>
        <v>640000</v>
      </c>
      <c r="E288">
        <f>表1_[[#This Row],[年份]]+表1_[[#This Row],[行政区域]]</f>
        <v>642017</v>
      </c>
    </row>
    <row r="289" spans="1:5" x14ac:dyDescent="0.3">
      <c r="A289" t="s">
        <v>328</v>
      </c>
      <c r="B289">
        <v>2016</v>
      </c>
      <c r="C289">
        <v>106.15</v>
      </c>
      <c r="D289">
        <f>VLOOKUP(表1_[[#This Row],[地区]],Sheet2!A:B,2,0)</f>
        <v>640000</v>
      </c>
      <c r="E289">
        <f>表1_[[#This Row],[年份]]+表1_[[#This Row],[行政区域]]</f>
        <v>642016</v>
      </c>
    </row>
    <row r="290" spans="1:5" x14ac:dyDescent="0.3">
      <c r="A290" t="s">
        <v>328</v>
      </c>
      <c r="B290">
        <v>2015</v>
      </c>
      <c r="C290">
        <v>95.32</v>
      </c>
      <c r="D290">
        <f>VLOOKUP(表1_[[#This Row],[地区]],Sheet2!A:B,2,0)</f>
        <v>640000</v>
      </c>
      <c r="E290">
        <f>表1_[[#This Row],[年份]]+表1_[[#This Row],[行政区域]]</f>
        <v>642015</v>
      </c>
    </row>
    <row r="291" spans="1:5" x14ac:dyDescent="0.3">
      <c r="A291" t="s">
        <v>328</v>
      </c>
      <c r="B291">
        <v>2014</v>
      </c>
      <c r="C291">
        <v>104.04</v>
      </c>
      <c r="D291">
        <f>VLOOKUP(表1_[[#This Row],[地区]],Sheet2!A:B,2,0)</f>
        <v>640000</v>
      </c>
      <c r="E291">
        <f>表1_[[#This Row],[年份]]+表1_[[#This Row],[行政区域]]</f>
        <v>642014</v>
      </c>
    </row>
    <row r="292" spans="1:5" x14ac:dyDescent="0.3">
      <c r="A292" t="s">
        <v>329</v>
      </c>
      <c r="B292">
        <v>2023</v>
      </c>
      <c r="C292">
        <v>115.91</v>
      </c>
      <c r="D292">
        <f>VLOOKUP(表1_[[#This Row],[地区]],Sheet2!A:B,2,0)</f>
        <v>650000</v>
      </c>
      <c r="E292">
        <f>表1_[[#This Row],[年份]]+表1_[[#This Row],[行政区域]]</f>
        <v>652023</v>
      </c>
    </row>
    <row r="293" spans="1:5" x14ac:dyDescent="0.3">
      <c r="A293" t="s">
        <v>329</v>
      </c>
      <c r="B293">
        <v>2022</v>
      </c>
      <c r="C293">
        <v>111.04</v>
      </c>
      <c r="D293">
        <f>VLOOKUP(表1_[[#This Row],[地区]],Sheet2!A:B,2,0)</f>
        <v>650000</v>
      </c>
      <c r="E293">
        <f>表1_[[#This Row],[年份]]+表1_[[#This Row],[行政区域]]</f>
        <v>652022</v>
      </c>
    </row>
    <row r="294" spans="1:5" x14ac:dyDescent="0.3">
      <c r="A294" t="s">
        <v>329</v>
      </c>
      <c r="B294">
        <v>2021</v>
      </c>
      <c r="C294">
        <v>114.54</v>
      </c>
      <c r="D294">
        <f>VLOOKUP(表1_[[#This Row],[地区]],Sheet2!A:B,2,0)</f>
        <v>650000</v>
      </c>
      <c r="E294">
        <f>表1_[[#This Row],[年份]]+表1_[[#This Row],[行政区域]]</f>
        <v>652021</v>
      </c>
    </row>
    <row r="295" spans="1:5" x14ac:dyDescent="0.3">
      <c r="A295" t="s">
        <v>329</v>
      </c>
      <c r="B295">
        <v>2020</v>
      </c>
      <c r="C295">
        <v>110.11</v>
      </c>
      <c r="D295">
        <f>VLOOKUP(表1_[[#This Row],[地区]],Sheet2!A:B,2,0)</f>
        <v>650000</v>
      </c>
      <c r="E295">
        <f>表1_[[#This Row],[年份]]+表1_[[#This Row],[行政区域]]</f>
        <v>652020</v>
      </c>
    </row>
    <row r="296" spans="1:5" x14ac:dyDescent="0.3">
      <c r="A296" t="s">
        <v>329</v>
      </c>
      <c r="B296">
        <v>2019</v>
      </c>
      <c r="C296">
        <v>108.79</v>
      </c>
      <c r="D296">
        <f>VLOOKUP(表1_[[#This Row],[地区]],Sheet2!A:B,2,0)</f>
        <v>650000</v>
      </c>
      <c r="E296">
        <f>表1_[[#This Row],[年份]]+表1_[[#This Row],[行政区域]]</f>
        <v>652019</v>
      </c>
    </row>
    <row r="297" spans="1:5" x14ac:dyDescent="0.3">
      <c r="A297" t="s">
        <v>329</v>
      </c>
      <c r="B297">
        <v>2018</v>
      </c>
      <c r="C297">
        <v>108.73</v>
      </c>
      <c r="D297">
        <f>VLOOKUP(表1_[[#This Row],[地区]],Sheet2!A:B,2,0)</f>
        <v>650000</v>
      </c>
      <c r="E297">
        <f>表1_[[#This Row],[年份]]+表1_[[#This Row],[行政区域]]</f>
        <v>652018</v>
      </c>
    </row>
    <row r="298" spans="1:5" x14ac:dyDescent="0.3">
      <c r="A298" t="s">
        <v>329</v>
      </c>
      <c r="B298">
        <v>2017</v>
      </c>
      <c r="C298">
        <v>92.13</v>
      </c>
      <c r="D298">
        <f>VLOOKUP(表1_[[#This Row],[地区]],Sheet2!A:B,2,0)</f>
        <v>650000</v>
      </c>
      <c r="E298">
        <f>表1_[[#This Row],[年份]]+表1_[[#This Row],[行政区域]]</f>
        <v>652017</v>
      </c>
    </row>
    <row r="299" spans="1:5" x14ac:dyDescent="0.3">
      <c r="A299" t="s">
        <v>329</v>
      </c>
      <c r="B299">
        <v>2016</v>
      </c>
      <c r="C299">
        <v>88.91</v>
      </c>
      <c r="D299">
        <f>VLOOKUP(表1_[[#This Row],[地区]],Sheet2!A:B,2,0)</f>
        <v>650000</v>
      </c>
      <c r="E299">
        <f>表1_[[#This Row],[年份]]+表1_[[#This Row],[行政区域]]</f>
        <v>652016</v>
      </c>
    </row>
    <row r="300" spans="1:5" x14ac:dyDescent="0.3">
      <c r="A300" t="s">
        <v>329</v>
      </c>
      <c r="B300">
        <v>2015</v>
      </c>
      <c r="C300">
        <v>85.96</v>
      </c>
      <c r="D300">
        <f>VLOOKUP(表1_[[#This Row],[地区]],Sheet2!A:B,2,0)</f>
        <v>650000</v>
      </c>
      <c r="E300">
        <f>表1_[[#This Row],[年份]]+表1_[[#This Row],[行政区域]]</f>
        <v>652015</v>
      </c>
    </row>
    <row r="301" spans="1:5" x14ac:dyDescent="0.3">
      <c r="A301" t="s">
        <v>329</v>
      </c>
      <c r="B301">
        <v>2014</v>
      </c>
      <c r="C301">
        <v>90.38</v>
      </c>
      <c r="D301">
        <f>VLOOKUP(表1_[[#This Row],[地区]],Sheet2!A:B,2,0)</f>
        <v>650000</v>
      </c>
      <c r="E301">
        <f>表1_[[#This Row],[年份]]+表1_[[#This Row],[行政区域]]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F3E6-FF84-417A-9D3E-DD7A1900C49F}">
  <dimension ref="A1:B31"/>
  <sheetViews>
    <sheetView workbookViewId="0">
      <selection activeCell="B1" sqref="B1:B1048576"/>
    </sheetView>
  </sheetViews>
  <sheetFormatPr defaultRowHeight="13.9" x14ac:dyDescent="0.3"/>
  <cols>
    <col min="1" max="2" width="9.06640625" style="5"/>
  </cols>
  <sheetData>
    <row r="1" spans="1:2" x14ac:dyDescent="0.3">
      <c r="A1" s="5" t="s">
        <v>335</v>
      </c>
      <c r="B1" s="5" t="s">
        <v>336</v>
      </c>
    </row>
    <row r="2" spans="1:2" x14ac:dyDescent="0.3">
      <c r="A2" s="5" t="s">
        <v>300</v>
      </c>
      <c r="B2" s="5">
        <v>110000</v>
      </c>
    </row>
    <row r="3" spans="1:2" x14ac:dyDescent="0.3">
      <c r="A3" s="5" t="s">
        <v>301</v>
      </c>
      <c r="B3" s="5">
        <v>120000</v>
      </c>
    </row>
    <row r="4" spans="1:2" x14ac:dyDescent="0.3">
      <c r="A4" s="5" t="s">
        <v>302</v>
      </c>
      <c r="B4" s="5">
        <v>130000</v>
      </c>
    </row>
    <row r="5" spans="1:2" x14ac:dyDescent="0.3">
      <c r="A5" s="5" t="s">
        <v>303</v>
      </c>
      <c r="B5" s="5">
        <v>140000</v>
      </c>
    </row>
    <row r="6" spans="1:2" x14ac:dyDescent="0.3">
      <c r="A6" s="5" t="s">
        <v>304</v>
      </c>
      <c r="B6" s="5">
        <v>150000</v>
      </c>
    </row>
    <row r="7" spans="1:2" x14ac:dyDescent="0.3">
      <c r="A7" s="5" t="s">
        <v>305</v>
      </c>
      <c r="B7" s="5">
        <v>210000</v>
      </c>
    </row>
    <row r="8" spans="1:2" x14ac:dyDescent="0.3">
      <c r="A8" s="5" t="s">
        <v>306</v>
      </c>
      <c r="B8" s="5">
        <v>220000</v>
      </c>
    </row>
    <row r="9" spans="1:2" x14ac:dyDescent="0.3">
      <c r="A9" s="5" t="s">
        <v>307</v>
      </c>
      <c r="B9" s="5">
        <v>230000</v>
      </c>
    </row>
    <row r="10" spans="1:2" x14ac:dyDescent="0.3">
      <c r="A10" s="5" t="s">
        <v>308</v>
      </c>
      <c r="B10" s="5">
        <v>310000</v>
      </c>
    </row>
    <row r="11" spans="1:2" x14ac:dyDescent="0.3">
      <c r="A11" s="5" t="s">
        <v>309</v>
      </c>
      <c r="B11" s="5">
        <v>320000</v>
      </c>
    </row>
    <row r="12" spans="1:2" x14ac:dyDescent="0.3">
      <c r="A12" s="5" t="s">
        <v>310</v>
      </c>
      <c r="B12" s="5">
        <v>330000</v>
      </c>
    </row>
    <row r="13" spans="1:2" x14ac:dyDescent="0.3">
      <c r="A13" s="5" t="s">
        <v>311</v>
      </c>
      <c r="B13" s="5">
        <v>340000</v>
      </c>
    </row>
    <row r="14" spans="1:2" x14ac:dyDescent="0.3">
      <c r="A14" s="5" t="s">
        <v>312</v>
      </c>
      <c r="B14" s="5">
        <v>350000</v>
      </c>
    </row>
    <row r="15" spans="1:2" x14ac:dyDescent="0.3">
      <c r="A15" s="5" t="s">
        <v>313</v>
      </c>
      <c r="B15" s="5">
        <v>360000</v>
      </c>
    </row>
    <row r="16" spans="1:2" x14ac:dyDescent="0.3">
      <c r="A16" s="5" t="s">
        <v>314</v>
      </c>
      <c r="B16" s="5">
        <v>370000</v>
      </c>
    </row>
    <row r="17" spans="1:2" x14ac:dyDescent="0.3">
      <c r="A17" s="5" t="s">
        <v>315</v>
      </c>
      <c r="B17" s="5">
        <v>410000</v>
      </c>
    </row>
    <row r="18" spans="1:2" x14ac:dyDescent="0.3">
      <c r="A18" s="5" t="s">
        <v>316</v>
      </c>
      <c r="B18" s="5">
        <v>420000</v>
      </c>
    </row>
    <row r="19" spans="1:2" x14ac:dyDescent="0.3">
      <c r="A19" s="5" t="s">
        <v>317</v>
      </c>
      <c r="B19" s="5">
        <v>430000</v>
      </c>
    </row>
    <row r="20" spans="1:2" x14ac:dyDescent="0.3">
      <c r="A20" s="5" t="s">
        <v>318</v>
      </c>
      <c r="B20" s="5">
        <v>440000</v>
      </c>
    </row>
    <row r="21" spans="1:2" x14ac:dyDescent="0.3">
      <c r="A21" s="5" t="s">
        <v>319</v>
      </c>
      <c r="B21" s="5">
        <v>450000</v>
      </c>
    </row>
    <row r="22" spans="1:2" x14ac:dyDescent="0.3">
      <c r="A22" s="5" t="s">
        <v>320</v>
      </c>
      <c r="B22" s="5">
        <v>460000</v>
      </c>
    </row>
    <row r="23" spans="1:2" x14ac:dyDescent="0.3">
      <c r="A23" s="5" t="s">
        <v>321</v>
      </c>
      <c r="B23" s="5">
        <v>500000</v>
      </c>
    </row>
    <row r="24" spans="1:2" x14ac:dyDescent="0.3">
      <c r="A24" s="5" t="s">
        <v>322</v>
      </c>
      <c r="B24" s="5">
        <v>510000</v>
      </c>
    </row>
    <row r="25" spans="1:2" x14ac:dyDescent="0.3">
      <c r="A25" s="5" t="s">
        <v>323</v>
      </c>
      <c r="B25" s="5">
        <v>520000</v>
      </c>
    </row>
    <row r="26" spans="1:2" x14ac:dyDescent="0.3">
      <c r="A26" s="5" t="s">
        <v>324</v>
      </c>
      <c r="B26" s="5">
        <v>530000</v>
      </c>
    </row>
    <row r="27" spans="1:2" x14ac:dyDescent="0.3">
      <c r="A27" s="5" t="s">
        <v>325</v>
      </c>
      <c r="B27" s="5">
        <v>610000</v>
      </c>
    </row>
    <row r="28" spans="1:2" x14ac:dyDescent="0.3">
      <c r="A28" s="5" t="s">
        <v>326</v>
      </c>
      <c r="B28" s="5">
        <v>620000</v>
      </c>
    </row>
    <row r="29" spans="1:2" x14ac:dyDescent="0.3">
      <c r="A29" s="5" t="s">
        <v>327</v>
      </c>
      <c r="B29" s="5">
        <v>630000</v>
      </c>
    </row>
    <row r="30" spans="1:2" x14ac:dyDescent="0.3">
      <c r="A30" s="5" t="s">
        <v>328</v>
      </c>
      <c r="B30" s="5">
        <v>640000</v>
      </c>
    </row>
    <row r="31" spans="1:2" x14ac:dyDescent="0.3">
      <c r="A31" s="5" t="s">
        <v>329</v>
      </c>
      <c r="B31" s="5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4" t="s">
        <v>330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3" t="s">
        <v>300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20.55" customHeight="1" x14ac:dyDescent="0.3">
      <c r="A3" s="3" t="s">
        <v>301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</row>
    <row r="4" spans="1:11" ht="20.55" customHeight="1" x14ac:dyDescent="0.3">
      <c r="A4" s="3" t="s">
        <v>302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</row>
    <row r="5" spans="1:11" ht="20.55" customHeight="1" x14ac:dyDescent="0.3">
      <c r="A5" s="3" t="s">
        <v>303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</row>
    <row r="6" spans="1:11" ht="20.55" customHeight="1" x14ac:dyDescent="0.3">
      <c r="A6" s="3" t="s">
        <v>304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60</v>
      </c>
    </row>
    <row r="7" spans="1:11" ht="20.55" customHeight="1" x14ac:dyDescent="0.3">
      <c r="A7" s="3" t="s">
        <v>305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70</v>
      </c>
    </row>
    <row r="8" spans="1:11" ht="20.55" customHeight="1" x14ac:dyDescent="0.3">
      <c r="A8" s="3" t="s">
        <v>306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75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80</v>
      </c>
    </row>
    <row r="9" spans="1:11" ht="20.55" customHeight="1" x14ac:dyDescent="0.3">
      <c r="A9" s="3" t="s">
        <v>307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90</v>
      </c>
    </row>
    <row r="10" spans="1:11" ht="20.55" customHeight="1" x14ac:dyDescent="0.3">
      <c r="A10" s="3" t="s">
        <v>308</v>
      </c>
      <c r="B10" s="2" t="s">
        <v>91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97</v>
      </c>
      <c r="I10" s="2" t="s">
        <v>98</v>
      </c>
      <c r="J10" s="2" t="s">
        <v>99</v>
      </c>
      <c r="K10" s="2" t="s">
        <v>100</v>
      </c>
    </row>
    <row r="11" spans="1:11" ht="20.55" customHeight="1" x14ac:dyDescent="0.3">
      <c r="A11" s="3" t="s">
        <v>309</v>
      </c>
      <c r="B11" s="2" t="s">
        <v>101</v>
      </c>
      <c r="C11" s="2" t="s">
        <v>102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107</v>
      </c>
      <c r="I11" s="2" t="s">
        <v>108</v>
      </c>
      <c r="J11" s="2" t="s">
        <v>109</v>
      </c>
      <c r="K11" s="2" t="s">
        <v>110</v>
      </c>
    </row>
    <row r="12" spans="1:11" ht="20.55" customHeight="1" x14ac:dyDescent="0.3">
      <c r="A12" s="3" t="s">
        <v>310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0.55" customHeight="1" x14ac:dyDescent="0.3">
      <c r="A13" s="3" t="s">
        <v>311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125</v>
      </c>
      <c r="G13" s="2" t="s">
        <v>126</v>
      </c>
      <c r="H13" s="2" t="s">
        <v>127</v>
      </c>
      <c r="I13" s="2" t="s">
        <v>128</v>
      </c>
      <c r="J13" s="2" t="s">
        <v>129</v>
      </c>
      <c r="K13" s="2" t="s">
        <v>130</v>
      </c>
    </row>
    <row r="14" spans="1:11" ht="20.55" customHeight="1" x14ac:dyDescent="0.3">
      <c r="A14" s="3" t="s">
        <v>312</v>
      </c>
      <c r="B14" s="2" t="s">
        <v>131</v>
      </c>
      <c r="C14" s="2" t="s">
        <v>132</v>
      </c>
      <c r="D14" s="2" t="s">
        <v>44</v>
      </c>
      <c r="E14" s="2" t="s">
        <v>133</v>
      </c>
      <c r="F14" s="2" t="s">
        <v>134</v>
      </c>
      <c r="G14" s="2" t="s">
        <v>135</v>
      </c>
      <c r="H14" s="2" t="s">
        <v>136</v>
      </c>
      <c r="I14" s="2" t="s">
        <v>137</v>
      </c>
      <c r="J14" s="2" t="s">
        <v>138</v>
      </c>
      <c r="K14" s="2" t="s">
        <v>139</v>
      </c>
    </row>
    <row r="15" spans="1:11" ht="20.55" customHeight="1" x14ac:dyDescent="0.3">
      <c r="A15" s="3" t="s">
        <v>313</v>
      </c>
      <c r="B15" s="2" t="s">
        <v>140</v>
      </c>
      <c r="C15" s="2" t="s">
        <v>141</v>
      </c>
      <c r="D15" s="2" t="s">
        <v>142</v>
      </c>
      <c r="E15" s="2" t="s">
        <v>143</v>
      </c>
      <c r="F15" s="2" t="s">
        <v>144</v>
      </c>
      <c r="G15" s="2" t="s">
        <v>145</v>
      </c>
      <c r="H15" s="2" t="s">
        <v>146</v>
      </c>
      <c r="I15" s="2" t="s">
        <v>147</v>
      </c>
      <c r="J15" s="2" t="s">
        <v>148</v>
      </c>
      <c r="K15" s="2" t="s">
        <v>149</v>
      </c>
    </row>
    <row r="16" spans="1:11" ht="20.55" customHeight="1" x14ac:dyDescent="0.3">
      <c r="A16" s="3" t="s">
        <v>314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157</v>
      </c>
      <c r="J16" s="2" t="s">
        <v>158</v>
      </c>
      <c r="K16" s="2" t="s">
        <v>159</v>
      </c>
    </row>
    <row r="17" spans="1:11" ht="20.55" customHeight="1" x14ac:dyDescent="0.3">
      <c r="A17" s="3" t="s">
        <v>315</v>
      </c>
      <c r="B17" s="2" t="s">
        <v>160</v>
      </c>
      <c r="C17" s="2" t="s">
        <v>161</v>
      </c>
      <c r="D17" s="2" t="s">
        <v>162</v>
      </c>
      <c r="E17" s="2" t="s">
        <v>163</v>
      </c>
      <c r="F17" s="2" t="s">
        <v>164</v>
      </c>
      <c r="G17" s="2" t="s">
        <v>165</v>
      </c>
      <c r="H17" s="2" t="s">
        <v>166</v>
      </c>
      <c r="I17" s="2" t="s">
        <v>167</v>
      </c>
      <c r="J17" s="2" t="s">
        <v>168</v>
      </c>
      <c r="K17" s="2" t="s">
        <v>169</v>
      </c>
    </row>
    <row r="18" spans="1:11" ht="20.55" customHeight="1" x14ac:dyDescent="0.3">
      <c r="A18" s="3" t="s">
        <v>316</v>
      </c>
      <c r="B18" s="2" t="s">
        <v>170</v>
      </c>
      <c r="C18" s="2" t="s">
        <v>171</v>
      </c>
      <c r="D18" s="2" t="s">
        <v>172</v>
      </c>
      <c r="E18" s="2" t="s">
        <v>173</v>
      </c>
      <c r="F18" s="2" t="s">
        <v>174</v>
      </c>
      <c r="G18" s="2" t="s">
        <v>175</v>
      </c>
      <c r="H18" s="2" t="s">
        <v>176</v>
      </c>
      <c r="I18" s="2" t="s">
        <v>177</v>
      </c>
      <c r="J18" s="2" t="s">
        <v>178</v>
      </c>
      <c r="K18" s="2" t="s">
        <v>179</v>
      </c>
    </row>
    <row r="19" spans="1:11" ht="20.55" customHeight="1" x14ac:dyDescent="0.3">
      <c r="A19" s="3" t="s">
        <v>317</v>
      </c>
      <c r="B19" s="2" t="s">
        <v>180</v>
      </c>
      <c r="C19" s="2" t="s">
        <v>181</v>
      </c>
      <c r="D19" s="2" t="s">
        <v>182</v>
      </c>
      <c r="E19" s="2" t="s">
        <v>68</v>
      </c>
      <c r="F19" s="2" t="s">
        <v>183</v>
      </c>
      <c r="G19" s="2" t="s">
        <v>184</v>
      </c>
      <c r="H19" s="2" t="s">
        <v>185</v>
      </c>
      <c r="I19" s="2" t="s">
        <v>186</v>
      </c>
      <c r="J19" s="2" t="s">
        <v>187</v>
      </c>
      <c r="K19" s="2" t="s">
        <v>188</v>
      </c>
    </row>
    <row r="20" spans="1:11" ht="20.55" customHeight="1" x14ac:dyDescent="0.3">
      <c r="A20" s="3" t="s">
        <v>318</v>
      </c>
      <c r="B20" s="2" t="s">
        <v>189</v>
      </c>
      <c r="C20" s="2" t="s">
        <v>190</v>
      </c>
      <c r="D20" s="2" t="s">
        <v>191</v>
      </c>
      <c r="E20" s="2" t="s">
        <v>192</v>
      </c>
      <c r="F20" s="2" t="s">
        <v>193</v>
      </c>
      <c r="G20" s="2" t="s">
        <v>194</v>
      </c>
      <c r="H20" s="2" t="s">
        <v>195</v>
      </c>
      <c r="I20" s="2" t="s">
        <v>196</v>
      </c>
      <c r="J20" s="2" t="s">
        <v>197</v>
      </c>
      <c r="K20" s="2" t="s">
        <v>198</v>
      </c>
    </row>
    <row r="21" spans="1:11" ht="20.55" customHeight="1" x14ac:dyDescent="0.3">
      <c r="A21" s="3" t="s">
        <v>319</v>
      </c>
      <c r="B21" s="2" t="s">
        <v>199</v>
      </c>
      <c r="C21" s="2" t="s">
        <v>200</v>
      </c>
      <c r="D21" s="2" t="s">
        <v>201</v>
      </c>
      <c r="E21" s="2" t="s">
        <v>202</v>
      </c>
      <c r="F21" s="2" t="s">
        <v>203</v>
      </c>
      <c r="G21" s="2" t="s">
        <v>204</v>
      </c>
      <c r="H21" s="2" t="s">
        <v>205</v>
      </c>
      <c r="I21" s="2" t="s">
        <v>206</v>
      </c>
      <c r="J21" s="2" t="s">
        <v>207</v>
      </c>
      <c r="K21" s="2" t="s">
        <v>208</v>
      </c>
    </row>
    <row r="22" spans="1:11" ht="20.55" customHeight="1" x14ac:dyDescent="0.3">
      <c r="A22" s="3" t="s">
        <v>320</v>
      </c>
      <c r="B22" s="2" t="s">
        <v>209</v>
      </c>
      <c r="C22" s="2" t="s">
        <v>210</v>
      </c>
      <c r="D22" s="2" t="s">
        <v>211</v>
      </c>
      <c r="E22" s="2" t="s">
        <v>212</v>
      </c>
      <c r="F22" s="2" t="s">
        <v>213</v>
      </c>
      <c r="G22" s="2" t="s">
        <v>214</v>
      </c>
      <c r="H22" s="2" t="s">
        <v>215</v>
      </c>
      <c r="I22" s="2" t="s">
        <v>216</v>
      </c>
      <c r="J22" s="2" t="s">
        <v>217</v>
      </c>
      <c r="K22" s="2" t="s">
        <v>218</v>
      </c>
    </row>
    <row r="23" spans="1:11" ht="20.55" customHeight="1" x14ac:dyDescent="0.3">
      <c r="A23" s="3" t="s">
        <v>321</v>
      </c>
      <c r="B23" s="2" t="s">
        <v>219</v>
      </c>
      <c r="C23" s="2" t="s">
        <v>192</v>
      </c>
      <c r="D23" s="2" t="s">
        <v>220</v>
      </c>
      <c r="E23" s="2" t="s">
        <v>211</v>
      </c>
      <c r="F23" s="2" t="s">
        <v>221</v>
      </c>
      <c r="G23" s="2" t="s">
        <v>32</v>
      </c>
      <c r="H23" s="2" t="s">
        <v>222</v>
      </c>
      <c r="I23" s="2" t="s">
        <v>223</v>
      </c>
      <c r="J23" s="2" t="s">
        <v>224</v>
      </c>
      <c r="K23" s="2" t="s">
        <v>225</v>
      </c>
    </row>
    <row r="24" spans="1:11" ht="20.55" customHeight="1" x14ac:dyDescent="0.3">
      <c r="A24" s="3" t="s">
        <v>322</v>
      </c>
      <c r="B24" s="2" t="s">
        <v>226</v>
      </c>
      <c r="C24" s="2" t="s">
        <v>227</v>
      </c>
      <c r="D24" s="2" t="s">
        <v>228</v>
      </c>
      <c r="E24" s="2" t="s">
        <v>229</v>
      </c>
      <c r="F24" s="2" t="s">
        <v>230</v>
      </c>
      <c r="G24" s="2" t="s">
        <v>231</v>
      </c>
      <c r="H24" s="2" t="s">
        <v>232</v>
      </c>
      <c r="I24" s="2" t="s">
        <v>233</v>
      </c>
      <c r="J24" s="2" t="s">
        <v>234</v>
      </c>
      <c r="K24" s="2" t="s">
        <v>235</v>
      </c>
    </row>
    <row r="25" spans="1:11" ht="20.55" customHeight="1" x14ac:dyDescent="0.3">
      <c r="A25" s="3" t="s">
        <v>323</v>
      </c>
      <c r="B25" s="2" t="s">
        <v>236</v>
      </c>
      <c r="C25" s="2" t="s">
        <v>237</v>
      </c>
      <c r="D25" s="2" t="s">
        <v>238</v>
      </c>
      <c r="E25" s="2" t="s">
        <v>239</v>
      </c>
      <c r="F25" s="2" t="s">
        <v>240</v>
      </c>
      <c r="G25" s="2" t="s">
        <v>241</v>
      </c>
      <c r="H25" s="2" t="s">
        <v>242</v>
      </c>
      <c r="I25" s="2" t="s">
        <v>243</v>
      </c>
      <c r="J25" s="2" t="s">
        <v>244</v>
      </c>
      <c r="K25" s="2" t="s">
        <v>245</v>
      </c>
    </row>
    <row r="26" spans="1:11" ht="20.55" customHeight="1" x14ac:dyDescent="0.3">
      <c r="A26" s="3" t="s">
        <v>324</v>
      </c>
      <c r="B26" s="2" t="s">
        <v>246</v>
      </c>
      <c r="C26" s="2" t="s">
        <v>247</v>
      </c>
      <c r="D26" s="2" t="s">
        <v>248</v>
      </c>
      <c r="E26" s="2" t="s">
        <v>249</v>
      </c>
      <c r="F26" s="2" t="s">
        <v>250</v>
      </c>
      <c r="G26" s="2" t="s">
        <v>251</v>
      </c>
      <c r="H26" s="2" t="s">
        <v>252</v>
      </c>
      <c r="I26" s="2" t="s">
        <v>253</v>
      </c>
      <c r="J26" s="2" t="s">
        <v>254</v>
      </c>
      <c r="K26" s="2" t="s">
        <v>255</v>
      </c>
    </row>
    <row r="27" spans="1:11" ht="20.55" customHeight="1" x14ac:dyDescent="0.3">
      <c r="A27" s="3" t="s">
        <v>325</v>
      </c>
      <c r="B27" s="2" t="s">
        <v>256</v>
      </c>
      <c r="C27" s="2" t="s">
        <v>257</v>
      </c>
      <c r="D27" s="2" t="s">
        <v>258</v>
      </c>
      <c r="E27" s="2" t="s">
        <v>259</v>
      </c>
      <c r="F27" s="2" t="s">
        <v>260</v>
      </c>
      <c r="G27" s="2" t="s">
        <v>261</v>
      </c>
      <c r="H27" s="2" t="s">
        <v>262</v>
      </c>
      <c r="I27" s="2" t="s">
        <v>263</v>
      </c>
      <c r="J27" s="2" t="s">
        <v>143</v>
      </c>
      <c r="K27" s="2" t="s">
        <v>264</v>
      </c>
    </row>
    <row r="28" spans="1:11" ht="20.55" customHeight="1" x14ac:dyDescent="0.3">
      <c r="A28" s="3" t="s">
        <v>326</v>
      </c>
      <c r="B28" s="2" t="s">
        <v>265</v>
      </c>
      <c r="C28" s="2" t="s">
        <v>34</v>
      </c>
      <c r="D28" s="2" t="s">
        <v>266</v>
      </c>
      <c r="E28" s="2" t="s">
        <v>267</v>
      </c>
      <c r="F28" s="2" t="s">
        <v>268</v>
      </c>
      <c r="G28" s="2" t="s">
        <v>269</v>
      </c>
      <c r="H28" s="2" t="s">
        <v>270</v>
      </c>
      <c r="I28" s="2" t="s">
        <v>271</v>
      </c>
      <c r="J28" s="2" t="s">
        <v>272</v>
      </c>
      <c r="K28" s="2" t="s">
        <v>273</v>
      </c>
    </row>
    <row r="29" spans="1:11" ht="20.55" customHeight="1" x14ac:dyDescent="0.3">
      <c r="A29" s="3" t="s">
        <v>327</v>
      </c>
      <c r="B29" s="2" t="s">
        <v>274</v>
      </c>
      <c r="C29" s="2" t="s">
        <v>275</v>
      </c>
      <c r="D29" s="2" t="s">
        <v>276</v>
      </c>
      <c r="E29" s="2" t="s">
        <v>277</v>
      </c>
      <c r="F29" s="2" t="s">
        <v>278</v>
      </c>
      <c r="G29" s="2" t="s">
        <v>279</v>
      </c>
      <c r="H29" s="2" t="s">
        <v>164</v>
      </c>
      <c r="I29" s="2" t="s">
        <v>280</v>
      </c>
      <c r="J29" s="2" t="s">
        <v>281</v>
      </c>
      <c r="K29" s="2" t="s">
        <v>282</v>
      </c>
    </row>
    <row r="30" spans="1:11" ht="20.55" customHeight="1" x14ac:dyDescent="0.3">
      <c r="A30" s="3" t="s">
        <v>328</v>
      </c>
      <c r="B30" s="2" t="s">
        <v>283</v>
      </c>
      <c r="C30" s="2" t="s">
        <v>284</v>
      </c>
      <c r="D30" s="2" t="s">
        <v>285</v>
      </c>
      <c r="E30" s="2" t="s">
        <v>286</v>
      </c>
      <c r="F30" s="2" t="s">
        <v>287</v>
      </c>
      <c r="G30" s="2" t="s">
        <v>288</v>
      </c>
      <c r="H30" s="2" t="s">
        <v>214</v>
      </c>
      <c r="I30" s="2" t="s">
        <v>239</v>
      </c>
      <c r="J30" s="2" t="s">
        <v>289</v>
      </c>
      <c r="K30" s="2" t="s">
        <v>290</v>
      </c>
    </row>
    <row r="31" spans="1:11" ht="20.55" customHeight="1" x14ac:dyDescent="0.3">
      <c r="A31" s="3" t="s">
        <v>329</v>
      </c>
      <c r="B31" s="2" t="s">
        <v>291</v>
      </c>
      <c r="C31" s="2" t="s">
        <v>292</v>
      </c>
      <c r="D31" s="2" t="s">
        <v>293</v>
      </c>
      <c r="E31" s="2" t="s">
        <v>294</v>
      </c>
      <c r="F31" s="2" t="s">
        <v>295</v>
      </c>
      <c r="G31" s="2" t="s">
        <v>181</v>
      </c>
      <c r="H31" s="2" t="s">
        <v>296</v>
      </c>
      <c r="I31" s="2" t="s">
        <v>297</v>
      </c>
      <c r="J31" s="2" t="s">
        <v>298</v>
      </c>
      <c r="K31" s="2" t="s">
        <v>299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953553-AA87-4031-BF12-0F3D0859D5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2026-04-15T13:53:50Z</dcterms:created>
  <dcterms:modified xsi:type="dcterms:W3CDTF">2026-04-17T13:48:40Z</dcterms:modified>
  <cp:category/>
</cp:coreProperties>
</file>